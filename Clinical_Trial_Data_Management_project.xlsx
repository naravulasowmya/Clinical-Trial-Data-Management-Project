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D4900FB9E374CC/Documents/"/>
    </mc:Choice>
  </mc:AlternateContent>
  <xr:revisionPtr revIDLastSave="0" documentId="8_{EF9CABC3-39C0-A34F-B207-CDA08D32D9EB}" xr6:coauthVersionLast="47" xr6:coauthVersionMax="47" xr10:uidLastSave="{00000000-0000-0000-0000-000000000000}"/>
  <bookViews>
    <workbookView xWindow="-120" yWindow="-120" windowWidth="20730" windowHeight="11040" firstSheet="12" activeTab="2" xr2:uid="{96F40578-9EAA-4028-BD3B-810E46115CC7}"/>
  </bookViews>
  <sheets>
    <sheet name="Study_Protocol" sheetId="17" r:id="rId1"/>
    <sheet name="Demographics" sheetId="1" r:id="rId2"/>
    <sheet name="Medical history" sheetId="2" r:id="rId3"/>
    <sheet name="Screening" sheetId="3" r:id="rId4"/>
    <sheet name="Visit_1_baseline" sheetId="4" r:id="rId5"/>
    <sheet name="Week_4" sheetId="5" r:id="rId6"/>
    <sheet name="Week_12" sheetId="7" r:id="rId7"/>
    <sheet name="Week_24_Final" sheetId="8" r:id="rId8"/>
    <sheet name="Laboratory_results" sheetId="9" r:id="rId9"/>
    <sheet name="Vital_signs" sheetId="10" r:id="rId10"/>
    <sheet name="Adverse events" sheetId="11" r:id="rId11"/>
    <sheet name="Concomitant_medications" sheetId="12" r:id="rId12"/>
    <sheet name="Query_Log" sheetId="13" r:id="rId13"/>
    <sheet name="Protocol Deviation " sheetId="14" r:id="rId14"/>
    <sheet name="DashBoard" sheetId="16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<sst xmlns="http://schemas.openxmlformats.org/spreadsheetml/2006/main" count="600" uniqueCount="214">
  <si>
    <t>BMI</t>
  </si>
  <si>
    <t>GF301-001</t>
  </si>
  <si>
    <t>S01</t>
  </si>
  <si>
    <t>Male</t>
  </si>
  <si>
    <t>R001</t>
  </si>
  <si>
    <t>Initials</t>
  </si>
  <si>
    <t>Age</t>
  </si>
  <si>
    <t>Sex</t>
  </si>
  <si>
    <t>Date of Birth</t>
  </si>
  <si>
    <t>Race</t>
  </si>
  <si>
    <t>Height (cm)</t>
  </si>
  <si>
    <t>Weight(kg)</t>
  </si>
  <si>
    <t>Informed Consent Date</t>
  </si>
  <si>
    <t>Randomization Number</t>
  </si>
  <si>
    <t>Asian</t>
  </si>
  <si>
    <t>Subject ID</t>
  </si>
  <si>
    <t>Site ID</t>
  </si>
  <si>
    <t>Hypertension</t>
  </si>
  <si>
    <t>Dyslipidemia</t>
  </si>
  <si>
    <t>Cardiovascular Disease</t>
  </si>
  <si>
    <t>Smoking Status</t>
  </si>
  <si>
    <t>Alcohol Use</t>
  </si>
  <si>
    <t>Duration of Diabetes (Years)</t>
  </si>
  <si>
    <t>Previous Diabetes Medication</t>
  </si>
  <si>
    <t>Family History of Diabetes</t>
  </si>
  <si>
    <t>GF301-002</t>
  </si>
  <si>
    <t>GF301-003</t>
  </si>
  <si>
    <t>Yes</t>
  </si>
  <si>
    <t>No</t>
  </si>
  <si>
    <t>Never</t>
  </si>
  <si>
    <t>Current</t>
  </si>
  <si>
    <t>Former</t>
  </si>
  <si>
    <t>Metformin</t>
  </si>
  <si>
    <t>Sitagliptin</t>
  </si>
  <si>
    <t>Insulin</t>
  </si>
  <si>
    <t>GF301-004</t>
  </si>
  <si>
    <t>GF301-005</t>
  </si>
  <si>
    <t>GF301-006</t>
  </si>
  <si>
    <t>GF301-007</t>
  </si>
  <si>
    <t>GF301-008</t>
  </si>
  <si>
    <t>GF301-009</t>
  </si>
  <si>
    <t>GF301-010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</si>
  <si>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</si>
  <si>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</si>
  <si>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</si>
  <si>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</si>
  <si>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</si>
  <si>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</si>
  <si>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</si>
  <si>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</si>
  <si>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</si>
  <si>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Female</t>
  </si>
  <si>
    <t>AK</t>
  </si>
  <si>
    <t>RS</t>
  </si>
  <si>
    <t>VP</t>
  </si>
  <si>
    <t>KR</t>
  </si>
  <si>
    <t>PM</t>
  </si>
  <si>
    <t>DT</t>
  </si>
  <si>
    <t>LK</t>
  </si>
  <si>
    <t>MJ</t>
  </si>
  <si>
    <t>HB</t>
  </si>
  <si>
    <t>SN</t>
  </si>
  <si>
    <t>Metformin + Glimepiride</t>
  </si>
  <si>
    <t>Screening Date</t>
  </si>
  <si>
    <t>HbA1c (%)</t>
  </si>
  <si>
    <t>Fasting Blood Glucose (mg/dL)</t>
  </si>
  <si>
    <t>Informed Consent Signed</t>
  </si>
  <si>
    <t>Meets Inclusion Criteria</t>
  </si>
  <si>
    <t>Meets Exclusion Criteria</t>
  </si>
  <si>
    <t>Screening Result</t>
  </si>
  <si>
    <t>Screen Failure Reason</t>
  </si>
  <si>
    <t>Passed</t>
  </si>
  <si>
    <t>-</t>
  </si>
  <si>
    <t>Failed</t>
  </si>
  <si>
    <t>HbA1c above study limit</t>
  </si>
  <si>
    <t>Informed consent not signed</t>
  </si>
  <si>
    <t>Visit Date</t>
  </si>
  <si>
    <t>Treatment Group</t>
  </si>
  <si>
    <t>Systolic BP (mmHg)</t>
  </si>
  <si>
    <t>Diastolic BP (mmHg)</t>
  </si>
  <si>
    <t>Heart Rate (bpm)</t>
  </si>
  <si>
    <t>Weight (kg)</t>
  </si>
  <si>
    <t>Study Drug Dispensed</t>
  </si>
  <si>
    <t>Investigator Comments</t>
  </si>
  <si>
    <t>GlucoFree</t>
  </si>
  <si>
    <t>Eligible and randomized</t>
  </si>
  <si>
    <t>Placebo</t>
  </si>
  <si>
    <t>Medication Compliance (%)</t>
  </si>
  <si>
    <t>Adverse Event</t>
  </si>
  <si>
    <t>Patient doing well</t>
  </si>
  <si>
    <t>No concerns</t>
  </si>
  <si>
    <t>Mild Headache</t>
  </si>
  <si>
    <t>Continued treatment</t>
  </si>
  <si>
    <t>Stable condition</t>
  </si>
  <si>
    <t>Good compliance</t>
  </si>
  <si>
    <t>No issues</t>
  </si>
  <si>
    <t>Mild Nausea</t>
  </si>
  <si>
    <t>Monitored</t>
  </si>
  <si>
    <t>Stable</t>
  </si>
  <si>
    <t>HbA1c improved</t>
  </si>
  <si>
    <t>Headache resolved</t>
  </si>
  <si>
    <t>Good response</t>
  </si>
  <si>
    <t>Improved control</t>
  </si>
  <si>
    <t>Nausea resolved</t>
  </si>
  <si>
    <t>Study Status</t>
  </si>
  <si>
    <t>Completed</t>
  </si>
  <si>
    <t>Excellent glycemic control</t>
  </si>
  <si>
    <t>Good improvement</t>
  </si>
  <si>
    <t>Target HbA1c achieved</t>
  </si>
  <si>
    <t>Improved glucose control</t>
  </si>
  <si>
    <t>No safety concerns</t>
  </si>
  <si>
    <t>Moderate improvement</t>
  </si>
  <si>
    <t>Completed successfully</t>
  </si>
  <si>
    <t>Visit</t>
  </si>
  <si>
    <t>Serum Creatinine (mg/dL)</t>
  </si>
  <si>
    <t>ALT (U/L)</t>
  </si>
  <si>
    <t>AST (U/L)</t>
  </si>
  <si>
    <t>Result Status</t>
  </si>
  <si>
    <t>Week 24</t>
  </si>
  <si>
    <t>Normal</t>
  </si>
  <si>
    <t>Respiratory Rate (breaths/min)</t>
  </si>
  <si>
    <t>Body Temperature (°C)</t>
  </si>
  <si>
    <t>AE ID</t>
  </si>
  <si>
    <t>Event Term</t>
  </si>
  <si>
    <t>Start Date</t>
  </si>
  <si>
    <t>End Date</t>
  </si>
  <si>
    <t>Severity</t>
  </si>
  <si>
    <t>Serious?</t>
  </si>
  <si>
    <t>Related to Study Drug</t>
  </si>
  <si>
    <t>Outcome</t>
  </si>
  <si>
    <t>AE001</t>
  </si>
  <si>
    <t>Headache</t>
  </si>
  <si>
    <t>Mild</t>
  </si>
  <si>
    <t>Possibly</t>
  </si>
  <si>
    <t>Recovered</t>
  </si>
  <si>
    <t>AE002</t>
  </si>
  <si>
    <t>Nausea</t>
  </si>
  <si>
    <t>Medication</t>
  </si>
  <si>
    <t>Indication</t>
  </si>
  <si>
    <t>Dose</t>
  </si>
  <si>
    <t>Route</t>
  </si>
  <si>
    <t>Ongoing</t>
  </si>
  <si>
    <t>Type 2 Diabetes</t>
  </si>
  <si>
    <t>500 mg</t>
  </si>
  <si>
    <t>Oral</t>
  </si>
  <si>
    <t>Glimepiride</t>
  </si>
  <si>
    <t>2 mg</t>
  </si>
  <si>
    <t>100 mg</t>
  </si>
  <si>
    <t>10 Units</t>
  </si>
  <si>
    <t>Injection</t>
  </si>
  <si>
    <t>Query ID</t>
  </si>
  <si>
    <t>Query Description</t>
  </si>
  <si>
    <t>Raised By</t>
  </si>
  <si>
    <t>Query Date</t>
  </si>
  <si>
    <t>Status</t>
  </si>
  <si>
    <t>Resolution Date</t>
  </si>
  <si>
    <t>Q001</t>
  </si>
  <si>
    <t>Weight mismatch between Baseline and Week 4</t>
  </si>
  <si>
    <t>Data Manager</t>
  </si>
  <si>
    <t>Closed</t>
  </si>
  <si>
    <t>Q002</t>
  </si>
  <si>
    <t>Missing heart rate at Week 12</t>
  </si>
  <si>
    <t>Deviation ID</t>
  </si>
  <si>
    <t>Deviation Description</t>
  </si>
  <si>
    <t>Date</t>
  </si>
  <si>
    <t>Action Taken</t>
  </si>
  <si>
    <t>PD001</t>
  </si>
  <si>
    <t>Week 4 visit completed 2 days late</t>
  </si>
  <si>
    <t>Minor</t>
  </si>
  <si>
    <t>Documented, participant continued</t>
  </si>
  <si>
    <t>Result</t>
  </si>
  <si>
    <t>Count</t>
  </si>
  <si>
    <t>Treatment</t>
  </si>
  <si>
    <t>Participants</t>
  </si>
  <si>
    <t>Event</t>
  </si>
  <si>
    <t>Failed Screening</t>
  </si>
  <si>
    <t>Clinical Trial Data Management Dashboard</t>
  </si>
  <si>
    <t>KPI</t>
  </si>
  <si>
    <t>Value</t>
  </si>
  <si>
    <t>Total Participants</t>
  </si>
  <si>
    <t>Screened</t>
  </si>
  <si>
    <t>Randomized</t>
  </si>
  <si>
    <t>Screen Failures</t>
  </si>
  <si>
    <t>Adverse Events</t>
  </si>
  <si>
    <t>Protocol Deviations</t>
  </si>
  <si>
    <t>Closed Queries</t>
  </si>
  <si>
    <t>Clinical Trial Study Protocol Summary</t>
  </si>
  <si>
    <r>
      <t>Study Title:</t>
    </r>
    <r>
      <rPr>
        <sz val="11"/>
        <color theme="1"/>
        <rFont val="Aptos Narrow"/>
        <family val="2"/>
        <scheme val="minor"/>
      </rPr>
      <t xml:space="preserve"> Phase III Clinical Trial to Evaluate the Safety and Efficacy of GlucoFree in Patients with Type 2 Diabetes Mellitus</t>
    </r>
  </si>
  <si>
    <r>
      <t>Study ID:</t>
    </r>
    <r>
      <rPr>
        <sz val="11"/>
        <color theme="1"/>
        <rFont val="Aptos Narrow"/>
        <family val="2"/>
        <scheme val="minor"/>
      </rPr>
      <t xml:space="preserve"> GF-301</t>
    </r>
  </si>
  <si>
    <r>
      <t>Phase:</t>
    </r>
    <r>
      <rPr>
        <sz val="11"/>
        <color theme="1"/>
        <rFont val="Aptos Narrow"/>
        <family val="2"/>
        <scheme val="minor"/>
      </rPr>
      <t xml:space="preserve"> III</t>
    </r>
  </si>
  <si>
    <r>
      <t>Study Design:</t>
    </r>
    <r>
      <rPr>
        <sz val="11"/>
        <color theme="1"/>
        <rFont val="Aptos Narrow"/>
        <family val="2"/>
        <scheme val="minor"/>
      </rPr>
      <t xml:space="preserve"> Randomized, Double-Blind, Placebo-Controlled</t>
    </r>
  </si>
  <si>
    <r>
      <t>Study Duration:</t>
    </r>
    <r>
      <rPr>
        <sz val="11"/>
        <color theme="1"/>
        <rFont val="Aptos Narrow"/>
        <family val="2"/>
        <scheme val="minor"/>
      </rPr>
      <t xml:space="preserve"> 24 Weeks</t>
    </r>
  </si>
  <si>
    <r>
      <t>Study Site:</t>
    </r>
    <r>
      <rPr>
        <sz val="11"/>
        <color theme="1"/>
        <rFont val="Aptos Narrow"/>
        <family val="2"/>
        <scheme val="minor"/>
      </rPr>
      <t xml:space="preserve"> S01</t>
    </r>
  </si>
  <si>
    <r>
      <t>Sample Size:</t>
    </r>
    <r>
      <rPr>
        <sz val="11"/>
        <color theme="1"/>
        <rFont val="Aptos Narrow"/>
        <family val="2"/>
        <scheme val="minor"/>
      </rPr>
      <t xml:space="preserve"> 10 Participants</t>
    </r>
  </si>
  <si>
    <t>Objective</t>
  </si>
  <si>
    <t>To evaluate the safety and efficacy of GlucoFree compared with placebo in adults with Type 2 Diabetes Mellitus.</t>
  </si>
  <si>
    <t>Primary Endpoint</t>
  </si>
  <si>
    <t>Change in HbA1c from Baseline to Week 24.</t>
  </si>
  <si>
    <t>Secondary Endpoints</t>
  </si>
  <si>
    <t>Fasting Blood Glucose</t>
  </si>
  <si>
    <t>Body Weight</t>
  </si>
  <si>
    <t>Medication Compliance</t>
  </si>
  <si>
    <t>Inclusion Criteria</t>
  </si>
  <si>
    <t>Age 18–75 years</t>
  </si>
  <si>
    <t>Diagnosed with Type 2 Diabetes Mellitus</t>
  </si>
  <si>
    <t>HbA1c between 7.0% and 10.5%</t>
  </si>
  <si>
    <t>Signed informed consent</t>
  </si>
  <si>
    <t>Exclusion Criteria</t>
  </si>
  <si>
    <t>Type 1 Diabetes Mellitus</t>
  </si>
  <si>
    <t>Pregnant or breastfeeding women</t>
  </si>
  <si>
    <t>Severe renal or hepatic disease</t>
  </si>
  <si>
    <t>Participation in another clinical trial within the last 30 days</t>
  </si>
  <si>
    <t>Study Outcome</t>
  </si>
  <si>
    <t>Eight participants completed the study successfully. Two participants failed screening. Mild adverse events (headache and nausea) were reported and resolved without serious safety concerns.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</si>
</sst>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0" fillId="0" borderId="0" xfId="0" applyNumberFormat="1" applyAlignment="1">
      <alignment horizontal="center" vertical="center" wrapText="1"/>
    </xf>
    <xf numFmtId="0" fontId="4" fillId="2" borderId="1" xfId="1" applyAlignment="1">
      <alignment horizontal="center" vertical="center" wrapText="1"/>
    </xf>
    <xf numFmtId="0" fontId="4" fillId="2" borderId="1" xfId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Output" xfId="1" builtinId="21"/>
  </cellStyles>
  <dxfs count="1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dd/mmm/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dd/m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dd/mmm/yy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Screening Outcome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DashBoard!$A$16:$A$17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DashBoard!$B$16:$B$17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3-46FE-AB5A-23A87F10E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Treatment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DashBoard!$K$15</c:f>
              <c:strCache>
                <c:ptCount val="1"/>
                <c:pt idx="0">
                  <c:v>Participants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DashBoard!$J$16:$J$17</c:f>
              <c:strCache>
                <c:ptCount val="2"/>
                <c:pt idx="0">
                  <c:v>GlucoFree</c:v>
                </c:pt>
                <c:pt idx="1">
                  <c:v>Placebo</c:v>
                </c:pt>
              </c:strCache>
            </c:strRef>
          </c:cat>
          <c:val>
            <c:numRef>
              <c:f>DashBoard!$K$16:$K$17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2-4C62-990F-C9F14FD9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747648"/>
        <c:axId val="1256144720"/>
      </c:barChart>
      <c:catAx>
        <c:axId val="13317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44720"/>
        <c:crosses val="autoZero"/>
        <c:auto val="1"/>
        <c:lblAlgn val="ctr"/>
        <c:lblOffset val="100"/>
        <c:noMultiLvlLbl val="0"/>
      </c:catAx>
      <c:valAx>
        <c:axId val="125614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7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Study Status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DashBoard!$K$31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DashBoard!$J$32:$J$33</c:f>
              <c:strCache>
                <c:ptCount val="2"/>
                <c:pt idx="0">
                  <c:v>Completed</c:v>
                </c:pt>
                <c:pt idx="1">
                  <c:v>Failed Screening</c:v>
                </c:pt>
              </c:strCache>
            </c:strRef>
          </c:cat>
          <c:val>
            <c:numRef>
              <c:f>DashBoard!$K$32:$K$33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9-4501-81FA-DCD414436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Adverse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DashBoard!$A$32:$A$33</c:f>
              <c:strCache>
                <c:ptCount val="2"/>
                <c:pt idx="0">
                  <c:v>Headache</c:v>
                </c:pt>
                <c:pt idx="1">
                  <c:v>Nausea</c:v>
                </c:pt>
              </c:strCache>
            </c:strRef>
          </c:cat>
          <c:val>
            <c:numRef>
              <c:f>DashBoard!$B$32:$B$33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0-4DA0-8CDD-8943868F4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18</xdr:row>
      <xdr:rowOff>147637</xdr:rowOff>
    </xdr:from>
    <xdr:to>
      <xdr:col>3</xdr:col>
      <xdr:colOff>47625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E8BF4-5235-DA64-3AC7-36C01DB81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342901</xdr:colOff>
      <xdr:row>18</xdr:row>
      <xdr:rowOff>52388</xdr:rowOff>
    </xdr:from>
    <xdr:to>
      <xdr:col>11</xdr:col>
      <xdr:colOff>342901</xdr:colOff>
      <xdr:row>27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B36963-8F37-3FC8-45F1-01F4D5186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457200</xdr:colOff>
      <xdr:row>34</xdr:row>
      <xdr:rowOff>100012</xdr:rowOff>
    </xdr:from>
    <xdr:to>
      <xdr:col>11</xdr:col>
      <xdr:colOff>409575</xdr:colOff>
      <xdr:row>43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216198-28C6-8F69-C569-09FAD515F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38099</xdr:colOff>
      <xdr:row>34</xdr:row>
      <xdr:rowOff>147638</xdr:rowOff>
    </xdr:from>
    <xdr:to>
      <xdr:col>3</xdr:col>
      <xdr:colOff>85725</xdr:colOff>
      <xdr:row>43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0BAF6B-80FA-E5D1-A054-387CCAA9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2A2E4-2D74-46D3-A22A-42F2FB881A18}" name="Table1" displayName="Table1" ref="A1:L11" totalsRowShown="0" headerRowDxfId="144" dataDxfId="143">
  <autoFilter ref="A1:L11" xr:uid="{61B2A2E4-2D74-46D3-A22A-42F2FB881A18}"/>
  <tableColumns count="12">
    <tableColumn id="1" xr3:uid="{D528020F-D5FE-4877-AC4C-641DE112F666}" name="Subject ID" dataDxfId="142"/>
    <tableColumn id="2" xr3:uid="{EFF3F620-DD15-4CB3-9C29-C578A92F6787}" name="Site ID" dataDxfId="141"/>
    <tableColumn id="3" xr3:uid="{03E2FFEE-5175-4E40-94D9-67F76C8CAB61}" name="Initials" dataDxfId="140"/>
    <tableColumn id="4" xr3:uid="{4FD498C3-2BAE-4478-8734-A0F95F29DD9E}" name="Age" dataDxfId="139"/>
    <tableColumn id="5" xr3:uid="{947E5585-A52D-4F4A-AE80-8AA32C9DF17C}" name="Sex" dataDxfId="138"/>
    <tableColumn id="6" xr3:uid="{50F6FAFA-709E-4BA9-AAC1-3EEEB3608196}" name="Date of Birth" dataDxfId="137"/>
    <tableColumn id="7" xr3:uid="{8E1D2775-39A2-443C-936B-224DBD7830F2}" name="Race" dataDxfId="136"/>
    <tableColumn id="8" xr3:uid="{0710F27B-152C-4F48-AC85-68999D83DA26}" name="Height (cm)" dataDxfId="135"/>
    <tableColumn id="9" xr3:uid="{5AE1CAC1-5561-49A2-865F-869711246787}" name="Weight(kg)" dataDxfId="134"/>
    <tableColumn id="10" xr3:uid="{EEC79A0D-BA57-47DE-926F-D6F8B99E2545}" name="BMI" dataDxfId="133">
      <calculatedColumnFormula>ROUND(I2/((H2/100)^2),1)</calculatedColumnFormula>
    </tableColumn>
    <tableColumn id="11" xr3:uid="{091CF06C-5071-4E10-99C4-1609FA568D63}" name="Informed Consent Date" dataDxfId="132"/>
    <tableColumn id="12" xr3:uid="{74C8D959-DD4E-4803-90E2-BB51D0548963}" name="Randomization Number" dataDxfId="1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F68144-A513-43F8-BE0A-E906A6254DFE}" name="Table3" displayName="Table3" ref="A1:I11" totalsRowShown="0" headerRowDxfId="130" dataDxfId="129">
  <autoFilter ref="A1:I11" xr:uid="{ADF68144-A513-43F8-BE0A-E906A6254DFE}"/>
  <tableColumns count="9">
    <tableColumn id="1" xr3:uid="{577D14C4-CE94-4BC2-8DC5-D4587039D898}" name="Subject ID" dataDxfId="128"/>
    <tableColumn id="2" xr3:uid="{55652994-A0AA-49DA-81FF-A04F2A6A94D5}" name="Hypertension" dataDxfId="127"/>
    <tableColumn id="3" xr3:uid="{A7C7A5F6-631C-49E8-85E4-7F9265E8ECAE}" name="Dyslipidemia" dataDxfId="126"/>
    <tableColumn id="4" xr3:uid="{F279EA0E-0264-43BC-94B0-8DA9B1B8D366}" name="Cardiovascular Disease" dataDxfId="125"/>
    <tableColumn id="5" xr3:uid="{6E88EDC8-8E79-46FD-9A43-B2A6F9E881CA}" name="Smoking Status" dataDxfId="124"/>
    <tableColumn id="6" xr3:uid="{8D79CBCF-4136-4BAE-9B66-86E36A033BD3}" name="Alcohol Use" dataDxfId="123"/>
    <tableColumn id="7" xr3:uid="{0ACF43C2-DB1A-45EC-8497-BE1BA3ADA664}" name="Duration of Diabetes (Years)" dataDxfId="122"/>
    <tableColumn id="8" xr3:uid="{484DDD3E-6D8E-4DB9-BDBB-403164C8D32A}" name="Previous Diabetes Medication" dataDxfId="121"/>
    <tableColumn id="9" xr3:uid="{C25FE37F-51E3-4C6B-A571-6F4610BF1786}" name="Family History of Diabetes" dataDxfId="1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18FD29-084D-4925-85A2-8D09B13ED78D}" name="Table4" displayName="Table4" ref="A1:I11" totalsRowShown="0" headerRowDxfId="119" dataDxfId="118">
  <autoFilter ref="A1:I11" xr:uid="{1918FD29-084D-4925-85A2-8D09B13ED78D}"/>
  <tableColumns count="9">
    <tableColumn id="1" xr3:uid="{AC309A08-72FC-4515-AAE0-6CEA0A12927A}" name="Subject ID" dataDxfId="117"/>
    <tableColumn id="2" xr3:uid="{CE3E4684-1135-4614-B598-2F597C50EE30}" name="Screening Date" dataDxfId="116"/>
    <tableColumn id="3" xr3:uid="{62B0E8CF-E87B-4F41-99A9-952B8C488AD3}" name="HbA1c (%)" dataDxfId="115"/>
    <tableColumn id="4" xr3:uid="{A424E3AF-BECB-4A7C-8155-A1ADB556ABEC}" name="Fasting Blood Glucose (mg/dL)" dataDxfId="114"/>
    <tableColumn id="5" xr3:uid="{32009977-C7E2-42F9-8C63-70A4D97AE27E}" name="Informed Consent Signed" dataDxfId="113"/>
    <tableColumn id="6" xr3:uid="{49767668-C305-40F0-BC28-CE255FE96090}" name="Meets Inclusion Criteria" dataDxfId="112"/>
    <tableColumn id="7" xr3:uid="{BAF0E8E5-2E99-4A94-B37A-416B1B99C2B9}" name="Meets Exclusion Criteria" dataDxfId="111"/>
    <tableColumn id="8" xr3:uid="{E54E806C-E272-4BC8-8914-8C88012B0AFC}" name="Screening Result" dataDxfId="110"/>
    <tableColumn id="9" xr3:uid="{2EE35B56-BDE5-4F9B-88EF-51BA5E941B7B}" name="Screen Failure Reason" dataDxfId="10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81D40B-D562-4EF4-8783-8B4D107DADC3}" name="Table5" displayName="Table5" ref="A1:J9" totalsRowShown="0" headerRowDxfId="108" dataDxfId="107">
  <autoFilter ref="A1:J9" xr:uid="{1D81D40B-D562-4EF4-8783-8B4D107DADC3}"/>
  <tableColumns count="10">
    <tableColumn id="1" xr3:uid="{B98F79AF-A041-47C8-9CB8-B2FCE66297E1}" name="Subject ID" dataDxfId="106"/>
    <tableColumn id="2" xr3:uid="{5C534C4F-84F7-42C2-A029-B509433884CE}" name="Visit Date" dataDxfId="105"/>
    <tableColumn id="3" xr3:uid="{A311C44E-54BF-46DE-ABD9-E0EFCCFAA50D}" name="Treatment Group" dataDxfId="104"/>
    <tableColumn id="4" xr3:uid="{DA15EFDD-8A8D-4C9F-B445-CE59C101E751}" name="Systolic BP (mmHg)" dataDxfId="103"/>
    <tableColumn id="5" xr3:uid="{B3FEB92E-95CE-434D-A789-B21A8BA2C275}" name="Diastolic BP (mmHg)" dataDxfId="102"/>
    <tableColumn id="6" xr3:uid="{5E8BF51F-3B28-4CE8-ACD0-C4824487AAF0}" name="Heart Rate (bpm)" dataDxfId="101"/>
    <tableColumn id="7" xr3:uid="{9FA7B45B-971A-4136-9725-17E5A4D41CCF}" name="Weight (kg)" dataDxfId="100"/>
    <tableColumn id="8" xr3:uid="{C3F7FA69-BC06-4FE6-BBD2-A65F4E595865}" name="HbA1c (%)" dataDxfId="99"/>
    <tableColumn id="9" xr3:uid="{DFAFB4DF-0B25-4A0C-A151-6236BB9C04A1}" name="Study Drug Dispensed" dataDxfId="98"/>
    <tableColumn id="10" xr3:uid="{85F59CEA-68A9-4D89-85DF-39A9CBB2F0AF}" name="Investigator Comments" dataDxfId="9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F2F5C5-33D9-45FC-9DC2-8806A420E16C}" name="Table6" displayName="Table6" ref="A1:I9" totalsRowShown="0" headerRowDxfId="96" dataDxfId="95">
  <autoFilter ref="A1:I9" xr:uid="{98F2F5C5-33D9-45FC-9DC2-8806A420E16C}"/>
  <tableColumns count="9">
    <tableColumn id="1" xr3:uid="{42671BD0-07BA-4DCC-88B2-9A9B19622E3F}" name="Subject ID" dataDxfId="94"/>
    <tableColumn id="2" xr3:uid="{9BAFADC6-4CB2-4061-9C41-4F190FD8CF7F}" name="Visit Date" dataDxfId="93"/>
    <tableColumn id="3" xr3:uid="{84610A0F-D1A1-46ED-A130-6A858590940F}" name="Weight (kg)" dataDxfId="92"/>
    <tableColumn id="4" xr3:uid="{352B9905-0204-462D-B1CA-E31943C4F953}" name="Systolic BP (mmHg)" dataDxfId="91"/>
    <tableColumn id="5" xr3:uid="{AF7C6B77-78DF-4578-89A1-E95BD94AF9CD}" name="Diastolic BP (mmHg)" dataDxfId="90"/>
    <tableColumn id="6" xr3:uid="{87DE3670-923B-4691-8105-58FD48DCF6D0}" name="Heart Rate (bpm)" dataDxfId="89"/>
    <tableColumn id="7" xr3:uid="{288B7335-F491-4C5E-8BDA-6D79ECA3F3B8}" name="Medication Compliance (%)" dataDxfId="88"/>
    <tableColumn id="8" xr3:uid="{3A5061BA-E582-40BF-9A6C-865D2AC15126}" name="Adverse Event" dataDxfId="87"/>
    <tableColumn id="9" xr3:uid="{90D4ACBA-4E84-468C-8F13-3E23D4C4F7DE}" name="Investigator Comments" dataDxfId="8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6B8AF9-0EA4-42FA-B272-5BD77332C003}" name="Table8" displayName="Table8" ref="A1:J9" totalsRowShown="0" headerRowDxfId="85" dataDxfId="84">
  <autoFilter ref="A1:J9" xr:uid="{336B8AF9-0EA4-42FA-B272-5BD77332C003}"/>
  <tableColumns count="10">
    <tableColumn id="1" xr3:uid="{3BC11B1D-D58A-447F-869A-CA44B143F562}" name="Subject ID" dataDxfId="83"/>
    <tableColumn id="2" xr3:uid="{E6820E50-35B4-49A3-9031-6BD5B9A277F2}" name="Visit Date" dataDxfId="82"/>
    <tableColumn id="3" xr3:uid="{9DC4A883-FFE6-4E72-94FB-ADE32D25F2E8}" name="Weight (kg)" dataDxfId="81"/>
    <tableColumn id="4" xr3:uid="{365A685D-F5F6-4C04-9589-3863A503690F}" name="Systolic BP (mmHg)" dataDxfId="80"/>
    <tableColumn id="5" xr3:uid="{70785584-16D7-41AF-A152-62F9B8DCE25C}" name="Diastolic BP (mmHg)" dataDxfId="79"/>
    <tableColumn id="6" xr3:uid="{8D95A00B-4613-4A2C-921E-5CA7E31DBE09}" name="Heart Rate (bpm)" dataDxfId="78"/>
    <tableColumn id="7" xr3:uid="{652B3090-A8A8-4B45-974B-EE3AB090CB94}" name="HbA1c (%)" dataDxfId="77"/>
    <tableColumn id="8" xr3:uid="{5270B640-74E8-46DF-848A-277A152BB19F}" name="Medication Compliance (%)" dataDxfId="76"/>
    <tableColumn id="9" xr3:uid="{1AB3A38C-0AF6-41C4-AAE7-162E4294192A}" name="Adverse Event" dataDxfId="75"/>
    <tableColumn id="10" xr3:uid="{7FCCCF2F-BC85-4A10-A028-821CB1D0B705}" name="Investigator Comments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ECBCA5-47BE-40DF-BCD5-DC7DD4FCE474}" name="Table9" displayName="Table9" ref="A1:J9" totalsRowShown="0" headerRowDxfId="73" dataDxfId="72">
  <autoFilter ref="A1:J9" xr:uid="{C5ECBCA5-47BE-40DF-BCD5-DC7DD4FCE474}"/>
  <tableColumns count="10">
    <tableColumn id="1" xr3:uid="{35229C1D-EC4F-4C7A-B5B9-FD9573E76DBC}" name="Subject ID" dataDxfId="71"/>
    <tableColumn id="2" xr3:uid="{865D13F1-27E2-4F3B-8AD1-03BC7B706DB0}" name="Visit Date" dataDxfId="70"/>
    <tableColumn id="3" xr3:uid="{65B02BDA-6ECE-471B-B84E-DA596ADA06D9}" name="Weight (kg)" dataDxfId="69"/>
    <tableColumn id="4" xr3:uid="{A8DDF82F-B934-4637-8144-3F263FC719F1}" name="Systolic BP (mmHg)" dataDxfId="68"/>
    <tableColumn id="5" xr3:uid="{F85105CF-174C-43D3-AF37-1DDACE31C639}" name="Diastolic BP (mmHg)" dataDxfId="67"/>
    <tableColumn id="6" xr3:uid="{5562060C-DD02-4279-BBCB-E07B48F12FFE}" name="Heart Rate (bpm)" dataDxfId="66"/>
    <tableColumn id="7" xr3:uid="{E625CA1F-F8F6-4785-82FA-C7E68FF76D6E}" name="HbA1c (%)" dataDxfId="65"/>
    <tableColumn id="8" xr3:uid="{C5BF9718-E52B-4A3F-B26C-0F928EBFA7AD}" name="Medication Compliance (%)" dataDxfId="64"/>
    <tableColumn id="9" xr3:uid="{8045F7F9-E11C-406A-A2CC-0A1EEA709CFD}" name="Study Status" dataDxfId="63"/>
    <tableColumn id="10" xr3:uid="{43E29F05-FD3E-42C8-8570-43A5D40447E0}" name="Investigator Comments" dataDxfId="6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395822-BC77-40B4-A228-EE8A5467A3BA}" name="Table10" displayName="Table10" ref="A1:H9" totalsRowShown="0" headerRowDxfId="61" dataDxfId="60">
  <autoFilter ref="A1:H9" xr:uid="{C1395822-BC77-40B4-A228-EE8A5467A3BA}"/>
  <tableColumns count="8">
    <tableColumn id="1" xr3:uid="{C6DCA8DF-39A0-45EB-9D11-D06D9C2E17D4}" name="Subject ID" dataDxfId="59"/>
    <tableColumn id="2" xr3:uid="{D4E12673-8A66-4886-912C-C0CAA21D02D6}" name="Visit" dataDxfId="58"/>
    <tableColumn id="3" xr3:uid="{6AFABC24-C0E1-4AB2-A9B3-CE7116377257}" name="HbA1c (%)" dataDxfId="57"/>
    <tableColumn id="4" xr3:uid="{420130DA-AAE2-444F-B26E-4B06D2F0F43B}" name="Fasting Blood Glucose (mg/dL)" dataDxfId="56"/>
    <tableColumn id="5" xr3:uid="{15606DC0-77F1-439D-8DD2-C162F4DA753F}" name="Serum Creatinine (mg/dL)" dataDxfId="55"/>
    <tableColumn id="6" xr3:uid="{5770DAD0-4FD7-4E92-A433-595B046C09D8}" name="ALT (U/L)" dataDxfId="54"/>
    <tableColumn id="7" xr3:uid="{470A6507-93A4-427B-AD68-7C425A597009}" name="AST (U/L)" dataDxfId="53"/>
    <tableColumn id="8" xr3:uid="{C4E0775E-57CD-45A7-B05A-6009EE7499B8}" name="Result Status" dataDxfId="5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1B4D7E-0988-452D-92F5-57ECE9B6D4E4}" name="Table11" displayName="Table11" ref="A1:H9" totalsRowShown="0" headerRowDxfId="51" dataDxfId="50">
  <autoFilter ref="A1:H9" xr:uid="{841B4D7E-0988-452D-92F5-57ECE9B6D4E4}"/>
  <tableColumns count="8">
    <tableColumn id="1" xr3:uid="{8293D349-5BE0-4641-981D-B512C65E8693}" name="Subject ID" dataDxfId="49"/>
    <tableColumn id="2" xr3:uid="{5FC7E11C-9E4A-489E-91DF-8C1F1C8FA43A}" name="Visit" dataDxfId="48"/>
    <tableColumn id="3" xr3:uid="{E24B8D32-1D7E-46ED-A4DB-D5A28A933C71}" name="Systolic BP (mmHg)" dataDxfId="47"/>
    <tableColumn id="4" xr3:uid="{66C829D6-DF11-41D7-BD5D-8A5341E39FB9}" name="Diastolic BP (mmHg)" dataDxfId="46"/>
    <tableColumn id="5" xr3:uid="{F7B98725-76CE-4A41-946F-FDA2944ADC16}" name="Heart Rate (bpm)" dataDxfId="45"/>
    <tableColumn id="6" xr3:uid="{932F72BB-C0BA-40C6-ACAB-61D36D47E317}" name="Respiratory Rate (breaths/min)" dataDxfId="44"/>
    <tableColumn id="7" xr3:uid="{4BB248DA-E8A4-4A65-9290-A457F669F1DF}" name="Body Temperature (°C)" dataDxfId="43"/>
    <tableColumn id="8" xr3:uid="{951F0871-6228-4216-BE55-EFE63E7EFFF0}" name="Weight (kg)" data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7E1FDB-B015-451F-9CC9-365DC1C5FA12}" name="Table12" displayName="Table12" ref="A1:I3" totalsRowShown="0" headerRowDxfId="41" dataDxfId="40">
  <autoFilter ref="A1:I3" xr:uid="{287E1FDB-B015-451F-9CC9-365DC1C5FA12}"/>
  <tableColumns count="9">
    <tableColumn id="1" xr3:uid="{24F5D778-3F52-440E-A5AB-60570CB23BD2}" name="AE ID" dataDxfId="39"/>
    <tableColumn id="2" xr3:uid="{0950C1BA-121D-4879-BA5C-1DD685B2CA22}" name="Subject ID" dataDxfId="38"/>
    <tableColumn id="3" xr3:uid="{5F00CB77-6F27-43BB-9BEB-931218EB5D0E}" name="Event Term" dataDxfId="37"/>
    <tableColumn id="4" xr3:uid="{DB9D4C69-1321-47CC-A86B-F51B94371BD9}" name="Start Date" dataDxfId="36"/>
    <tableColumn id="5" xr3:uid="{873F5804-F756-4631-941C-DAEB5A739F93}" name="End Date" dataDxfId="35"/>
    <tableColumn id="6" xr3:uid="{9FC37AFC-80F1-4301-AAA3-2FDC5FC1F272}" name="Severity" dataDxfId="34"/>
    <tableColumn id="7" xr3:uid="{98DFD40A-FE45-4B87-9FB9-39259122C217}" name="Serious?" dataDxfId="33"/>
    <tableColumn id="8" xr3:uid="{637595AB-CABB-4592-9F3C-22DF7662764C}" name="Related to Study Drug" dataDxfId="32"/>
    <tableColumn id="9" xr3:uid="{5E0F82CB-A6B4-4974-9E40-3B11B0C5A3DB}" name="Outcome" dataDxfId="3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F3D8EF-2698-44ED-A32D-AFEB52986054}" name="Table13" displayName="Table13" ref="M1:T9" totalsRowShown="0" headerRowDxfId="30" dataDxfId="29">
  <autoFilter ref="M1:T9" xr:uid="{8DF3D8EF-2698-44ED-A32D-AFEB52986054}"/>
  <tableColumns count="8">
    <tableColumn id="1" xr3:uid="{FF3C6A21-A781-4797-967B-9F766E39A937}" name="Subject ID" dataDxfId="28"/>
    <tableColumn id="2" xr3:uid="{56139BD5-64C6-4AF5-B99F-126CF00E7238}" name="Medication" dataDxfId="27"/>
    <tableColumn id="3" xr3:uid="{D5E2E27E-C4A9-4B1D-8A6D-3CD3BCFDDDFE}" name="Indication" dataDxfId="26"/>
    <tableColumn id="4" xr3:uid="{9AB1CC71-77B2-4800-8793-E395126C76D9}" name="Dose" dataDxfId="25"/>
    <tableColumn id="5" xr3:uid="{A1FBC981-6114-4B77-AFEF-16CC31E52B9F}" name="Route" dataDxfId="24"/>
    <tableColumn id="6" xr3:uid="{24A3A91D-A31E-43A4-986C-0B764635F23A}" name="Start Date" dataDxfId="23"/>
    <tableColumn id="7" xr3:uid="{5993727F-E3B9-4D8D-BFF8-38AF43927C35}" name="End Date" dataDxfId="22"/>
    <tableColumn id="8" xr3:uid="{DA3FA0EC-58C5-4D78-8B58-689CA6185BFD}" name="Ongoing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36671A-5E0F-4FD3-863C-F5E4352D0CEA}" name="Table14" displayName="Table14" ref="A1:G3" totalsRowShown="0" headerRowDxfId="20" dataDxfId="19">
  <autoFilter ref="A1:G3" xr:uid="{2836671A-5E0F-4FD3-863C-F5E4352D0CEA}"/>
  <tableColumns count="7">
    <tableColumn id="1" xr3:uid="{DBB8B079-11D2-49FB-A7CE-BEB51DE7E609}" name="Query ID" dataDxfId="18"/>
    <tableColumn id="2" xr3:uid="{88AD5479-5A9B-42A5-9F76-540FB8D41A24}" name="Subject ID" dataDxfId="17"/>
    <tableColumn id="3" xr3:uid="{E9A06A77-E23B-49A5-A60D-254777812629}" name="Query Description" dataDxfId="16"/>
    <tableColumn id="4" xr3:uid="{5096F2CD-3CE2-4A74-8C82-1C8A149E8739}" name="Raised By" dataDxfId="15"/>
    <tableColumn id="5" xr3:uid="{F5284A9F-15B3-4772-8914-9ECFBA5B0E23}" name="Query Date" dataDxfId="14"/>
    <tableColumn id="6" xr3:uid="{A6C712E8-D6AE-4E68-9787-069143043EE1}" name="Status" dataDxfId="13"/>
    <tableColumn id="7" xr3:uid="{46751EDB-BE3C-46A7-A0E4-243CB823C261}" name="Resolution Date" dataDxfId="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03AB09F-03AA-430A-AC51-224D19F31001}" name="Table15" displayName="Table15" ref="A1:F2" totalsRowShown="0" headerRowDxfId="11" dataDxfId="10">
  <autoFilter ref="A1:F2" xr:uid="{A03AB09F-03AA-430A-AC51-224D19F31001}"/>
  <tableColumns count="6">
    <tableColumn id="1" xr3:uid="{0923D2AE-3A91-439B-B190-FB65C324F26A}" name="Deviation ID" dataDxfId="9"/>
    <tableColumn id="2" xr3:uid="{FC674F26-7264-4E0B-B8CC-A011017C6C87}" name="Subject ID" dataDxfId="8"/>
    <tableColumn id="3" xr3:uid="{B552F6C3-155E-4DD4-917C-D9EAD764A23E}" name="Deviation Description" dataDxfId="7"/>
    <tableColumn id="4" xr3:uid="{2E143EF0-236E-4A21-A2C3-72F28F078D42}" name="Date" dataDxfId="6"/>
    <tableColumn id="5" xr3:uid="{B009E8D7-72AC-4ADC-AD40-91B65756F6EA}" name="Severity" dataDxfId="5"/>
    <tableColumn id="6" xr3:uid="{E81AEFD5-4C87-496F-8585-1ED63F254C02}" name="Action Taken" dataDxfId="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0BA8F-9CC4-407E-B183-BA801BC4C8D4}" name="Table2" displayName="Table2" ref="A4:B12" totalsRowShown="0" headerRowDxfId="3" dataDxfId="2">
  <autoFilter ref="A4:B12" xr:uid="{D490BA8F-9CC4-407E-B183-BA801BC4C8D4}"/>
  <tableColumns count="2">
    <tableColumn id="1" xr3:uid="{564136FE-777D-4678-B82B-A08D1EFB48E9}" name="KPI" dataDxfId="1"/>
    <tableColumn id="2" xr3:uid="{68CA2A01-EA7D-4C4B-8DAA-A61CB962EA96}" name="Valu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2268-3EB1-4782-8505-2E714C6827CC}">
  <dimension ref="A1:L36"/>
  <sheetViews>
    <sheetView workbookViewId="0">
      <selection activeCell="A15" sqref="A15"/>
    </sheetView>
  </sheetViews>
  <sheetFormatPr defaultRowHeight="15" x14ac:dyDescent="0.2"/>
  <cols>
    <col min="1" max="1" width="51.38671875" customWidth="1"/>
  </cols>
  <sheetData>
    <row r="1" spans="1:12" ht="21" x14ac:dyDescent="0.3">
      <c r="A1" s="15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27.75" x14ac:dyDescent="0.2">
      <c r="A3" s="13" t="s">
        <v>187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14.25" x14ac:dyDescent="0.2">
      <c r="A4" s="13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14.25" x14ac:dyDescent="0.2">
      <c r="A5" s="13" t="s">
        <v>189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ht="14.25" x14ac:dyDescent="0.2">
      <c r="A6" s="13" t="s">
        <v>190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ht="14.25" x14ac:dyDescent="0.2">
      <c r="A7" s="13" t="s">
        <v>191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4.25" x14ac:dyDescent="0.2">
      <c r="A8" s="13" t="s">
        <v>192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ht="14.25" x14ac:dyDescent="0.2">
      <c r="A9" s="13" t="s">
        <v>193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1" spans="1:12" ht="16.5" x14ac:dyDescent="0.25">
      <c r="A11" s="16" t="s">
        <v>194</v>
      </c>
    </row>
    <row r="12" spans="1:12" x14ac:dyDescent="0.2">
      <c r="A12" t="s">
        <v>195</v>
      </c>
    </row>
    <row r="14" spans="1:12" ht="16.5" x14ac:dyDescent="0.25">
      <c r="A14" s="16" t="s">
        <v>196</v>
      </c>
    </row>
    <row r="15" spans="1:12" x14ac:dyDescent="0.2">
      <c r="A15" t="s">
        <v>197</v>
      </c>
    </row>
    <row r="17" spans="1:1" ht="16.5" x14ac:dyDescent="0.25">
      <c r="A17" s="16" t="s">
        <v>198</v>
      </c>
    </row>
    <row r="18" spans="1:1" x14ac:dyDescent="0.2">
      <c r="A18" t="s">
        <v>199</v>
      </c>
    </row>
    <row r="19" spans="1:1" x14ac:dyDescent="0.2">
      <c r="A19" t="s">
        <v>200</v>
      </c>
    </row>
    <row r="20" spans="1:1" x14ac:dyDescent="0.2">
      <c r="A20" t="s">
        <v>183</v>
      </c>
    </row>
    <row r="21" spans="1:1" x14ac:dyDescent="0.2">
      <c r="A21" t="s">
        <v>201</v>
      </c>
    </row>
    <row r="23" spans="1:1" ht="16.5" x14ac:dyDescent="0.25">
      <c r="A23" s="16" t="s">
        <v>202</v>
      </c>
    </row>
    <row r="24" spans="1:1" x14ac:dyDescent="0.2">
      <c r="A24" t="s">
        <v>203</v>
      </c>
    </row>
    <row r="25" spans="1:1" x14ac:dyDescent="0.2">
      <c r="A25" t="s">
        <v>204</v>
      </c>
    </row>
    <row r="26" spans="1:1" x14ac:dyDescent="0.2">
      <c r="A26" t="s">
        <v>205</v>
      </c>
    </row>
    <row r="27" spans="1:1" x14ac:dyDescent="0.2">
      <c r="A27" t="s">
        <v>206</v>
      </c>
    </row>
    <row r="29" spans="1:1" ht="16.5" x14ac:dyDescent="0.25">
      <c r="A29" s="16" t="s">
        <v>207</v>
      </c>
    </row>
    <row r="30" spans="1:1" x14ac:dyDescent="0.2">
      <c r="A30" t="s">
        <v>208</v>
      </c>
    </row>
    <row r="31" spans="1:1" x14ac:dyDescent="0.2">
      <c r="A31" t="s">
        <v>209</v>
      </c>
    </row>
    <row r="32" spans="1:1" x14ac:dyDescent="0.2">
      <c r="A32" t="s">
        <v>210</v>
      </c>
    </row>
    <row r="33" spans="1:1" x14ac:dyDescent="0.2">
      <c r="A33" t="s">
        <v>211</v>
      </c>
    </row>
    <row r="35" spans="1:1" ht="16.5" x14ac:dyDescent="0.25">
      <c r="A35" s="16" t="s">
        <v>212</v>
      </c>
    </row>
    <row r="36" spans="1:1" x14ac:dyDescent="0.2">
      <c r="A36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493A-6AE6-4E62-8B1C-6D6A41D0C50F}">
  <dimension ref="A1:M11"/>
  <sheetViews>
    <sheetView topLeftCell="H1" workbookViewId="0">
      <selection activeCell="I12" sqref="I12"/>
    </sheetView>
  </sheetViews>
  <sheetFormatPr defaultRowHeight="15" x14ac:dyDescent="0.2"/>
  <cols>
    <col min="1" max="1" width="15.33203125" customWidth="1"/>
    <col min="2" max="2" width="11.703125" customWidth="1"/>
    <col min="3" max="3" width="12.5078125" customWidth="1"/>
    <col min="6" max="6" width="17.21875" customWidth="1"/>
    <col min="7" max="7" width="9.68359375" customWidth="1"/>
    <col min="8" max="8" width="15.6015625" customWidth="1"/>
    <col min="9" max="9" width="15.19921875" customWidth="1"/>
    <col min="10" max="10" width="9.4140625" customWidth="1"/>
    <col min="11" max="11" width="26.6328125" customWidth="1"/>
    <col min="12" max="12" width="27.171875" customWidth="1"/>
    <col min="13" max="13" width="12.375" customWidth="1"/>
  </cols>
  <sheetData>
    <row r="1" spans="1:13" x14ac:dyDescent="0.2">
      <c r="A1" s="1" t="s">
        <v>15</v>
      </c>
      <c r="B1" s="1" t="s">
        <v>16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0</v>
      </c>
      <c r="K1" s="1" t="s">
        <v>12</v>
      </c>
      <c r="L1" s="1" t="s">
        <v>13</v>
      </c>
      <c r="M1" s="1"/>
    </row>
    <row r="2" spans="1:13" x14ac:dyDescent="0.2">
      <c r="A2" s="1" t="s">
        <v>1</v>
      </c>
      <c r="B2" s="1" t="s">
        <v>2</v>
      </c>
      <c r="C2" s="1" t="s">
        <v>52</v>
      </c>
      <c r="D2" s="1">
        <v>45</v>
      </c>
      <c r="E2" s="1" t="s">
        <v>3</v>
      </c>
      <c r="F2" s="2">
        <v>25335</v>
      </c>
      <c r="G2" s="1" t="s">
        <v>14</v>
      </c>
      <c r="H2" s="1">
        <v>170</v>
      </c>
      <c r="I2" s="1">
        <v>78</v>
      </c>
      <c r="J2" s="3">
        <f>ROUND(I2/((H2/100)^2),1)</f>
        <v>27</v>
      </c>
      <c r="K2" s="2">
        <v>46024</v>
      </c>
      <c r="L2" s="1" t="s">
        <v>4</v>
      </c>
      <c r="M2" s="1"/>
    </row>
    <row r="3" spans="1:13" x14ac:dyDescent="0.2">
      <c r="A3" s="1" t="s">
        <v>25</v>
      </c>
      <c r="B3" s="1" t="s">
        <v>2</v>
      </c>
      <c r="C3" s="1" t="s">
        <v>53</v>
      </c>
      <c r="D3" s="1">
        <v>52</v>
      </c>
      <c r="E3" s="1" t="s">
        <v>51</v>
      </c>
      <c r="F3" s="2">
        <v>26863</v>
      </c>
      <c r="G3" s="1" t="s">
        <v>14</v>
      </c>
      <c r="H3" s="1">
        <v>160</v>
      </c>
      <c r="I3" s="1">
        <v>68</v>
      </c>
      <c r="J3" s="3">
        <f t="shared" ref="J3:J11" si="0">ROUND(I3/((H3/100)^2),1)</f>
        <v>26.6</v>
      </c>
      <c r="K3" s="2">
        <v>46024</v>
      </c>
      <c r="L3" s="1" t="s">
        <v>42</v>
      </c>
    </row>
    <row r="4" spans="1:13" x14ac:dyDescent="0.2">
      <c r="A4" s="1" t="s">
        <v>26</v>
      </c>
      <c r="B4" s="1" t="s">
        <v>2</v>
      </c>
      <c r="C4" s="1" t="s">
        <v>54</v>
      </c>
      <c r="D4" s="1">
        <v>60</v>
      </c>
      <c r="E4" s="1" t="s">
        <v>3</v>
      </c>
      <c r="F4" s="2">
        <v>24071</v>
      </c>
      <c r="G4" s="1" t="s">
        <v>14</v>
      </c>
      <c r="H4" s="1">
        <v>172</v>
      </c>
      <c r="I4" s="1">
        <v>82</v>
      </c>
      <c r="J4" s="3">
        <f t="shared" si="0"/>
        <v>27.7</v>
      </c>
      <c r="K4" s="2">
        <v>46025</v>
      </c>
      <c r="L4" s="1" t="s">
        <v>43</v>
      </c>
    </row>
    <row r="5" spans="1:13" x14ac:dyDescent="0.2">
      <c r="A5" s="1" t="s">
        <v>35</v>
      </c>
      <c r="B5" s="1" t="s">
        <v>2</v>
      </c>
      <c r="C5" s="1" t="s">
        <v>55</v>
      </c>
      <c r="D5" s="1">
        <v>49</v>
      </c>
      <c r="E5" s="1" t="s">
        <v>51</v>
      </c>
      <c r="F5" s="2">
        <v>28165</v>
      </c>
      <c r="G5" s="1" t="s">
        <v>14</v>
      </c>
      <c r="H5" s="1">
        <v>158</v>
      </c>
      <c r="I5" s="1">
        <v>71</v>
      </c>
      <c r="J5" s="3">
        <f t="shared" si="0"/>
        <v>28.4</v>
      </c>
      <c r="K5" s="2">
        <v>46025</v>
      </c>
      <c r="L5" s="1" t="s">
        <v>44</v>
      </c>
    </row>
    <row r="6" spans="1:13" x14ac:dyDescent="0.2">
      <c r="A6" s="1" t="s">
        <v>36</v>
      </c>
      <c r="B6" s="1" t="s">
        <v>2</v>
      </c>
      <c r="C6" s="1" t="s">
        <v>56</v>
      </c>
      <c r="D6" s="1">
        <v>55</v>
      </c>
      <c r="E6" s="1" t="s">
        <v>3</v>
      </c>
      <c r="F6" s="2">
        <v>25794</v>
      </c>
      <c r="G6" s="1" t="s">
        <v>14</v>
      </c>
      <c r="H6" s="1">
        <v>168</v>
      </c>
      <c r="I6" s="1">
        <v>76</v>
      </c>
      <c r="J6" s="3">
        <f t="shared" si="0"/>
        <v>26.9</v>
      </c>
      <c r="K6" s="2">
        <v>46026</v>
      </c>
      <c r="L6" s="1" t="s">
        <v>45</v>
      </c>
    </row>
    <row r="7" spans="1:13" x14ac:dyDescent="0.2">
      <c r="A7" s="1" t="s">
        <v>37</v>
      </c>
      <c r="B7" s="1" t="s">
        <v>2</v>
      </c>
      <c r="C7" s="1" t="s">
        <v>57</v>
      </c>
      <c r="D7" s="1">
        <v>4</v>
      </c>
      <c r="E7" s="1" t="s">
        <v>51</v>
      </c>
      <c r="F7" s="2">
        <v>30101</v>
      </c>
      <c r="G7" s="1" t="s">
        <v>14</v>
      </c>
      <c r="H7" s="1">
        <v>162</v>
      </c>
      <c r="I7" s="1">
        <v>65</v>
      </c>
      <c r="J7" s="3">
        <f t="shared" si="0"/>
        <v>24.8</v>
      </c>
      <c r="K7" s="2">
        <v>46026</v>
      </c>
      <c r="L7" s="1" t="s">
        <v>46</v>
      </c>
    </row>
    <row r="8" spans="1:13" x14ac:dyDescent="0.2">
      <c r="A8" s="1" t="s">
        <v>38</v>
      </c>
      <c r="B8" s="1" t="s">
        <v>2</v>
      </c>
      <c r="C8" s="1" t="s">
        <v>58</v>
      </c>
      <c r="D8" s="1">
        <v>58</v>
      </c>
      <c r="E8" s="1" t="s">
        <v>3</v>
      </c>
      <c r="F8" s="2">
        <v>24494</v>
      </c>
      <c r="G8" s="1" t="s">
        <v>14</v>
      </c>
      <c r="H8" s="1">
        <v>175</v>
      </c>
      <c r="I8" s="1">
        <v>88</v>
      </c>
      <c r="J8" s="3">
        <f t="shared" si="0"/>
        <v>28.7</v>
      </c>
      <c r="K8" s="2">
        <v>46027</v>
      </c>
      <c r="L8" s="1" t="s">
        <v>47</v>
      </c>
    </row>
    <row r="9" spans="1:13" x14ac:dyDescent="0.2">
      <c r="A9" s="1" t="s">
        <v>39</v>
      </c>
      <c r="B9" s="1" t="s">
        <v>2</v>
      </c>
      <c r="C9" s="1" t="s">
        <v>59</v>
      </c>
      <c r="D9" s="1">
        <v>47</v>
      </c>
      <c r="E9" s="1" t="s">
        <v>51</v>
      </c>
      <c r="F9" s="2">
        <v>28774</v>
      </c>
      <c r="G9" s="1" t="s">
        <v>14</v>
      </c>
      <c r="H9" s="1">
        <v>155</v>
      </c>
      <c r="I9" s="1">
        <v>63</v>
      </c>
      <c r="J9" s="3">
        <f t="shared" si="0"/>
        <v>26.2</v>
      </c>
      <c r="K9" s="2">
        <v>46027</v>
      </c>
      <c r="L9" s="1" t="s">
        <v>48</v>
      </c>
    </row>
    <row r="10" spans="1:13" x14ac:dyDescent="0.2">
      <c r="A10" s="1" t="s">
        <v>40</v>
      </c>
      <c r="B10" s="1" t="s">
        <v>2</v>
      </c>
      <c r="C10" s="1" t="s">
        <v>60</v>
      </c>
      <c r="D10" s="1">
        <v>6</v>
      </c>
      <c r="E10" s="1" t="s">
        <v>3</v>
      </c>
      <c r="F10" s="2">
        <v>23472</v>
      </c>
      <c r="G10" s="1" t="s">
        <v>14</v>
      </c>
      <c r="H10" s="1">
        <v>169</v>
      </c>
      <c r="I10" s="1">
        <v>80</v>
      </c>
      <c r="J10" s="3">
        <f t="shared" si="0"/>
        <v>28</v>
      </c>
      <c r="K10" s="2">
        <v>46028</v>
      </c>
      <c r="L10" s="1" t="s">
        <v>49</v>
      </c>
    </row>
    <row r="11" spans="1:13" x14ac:dyDescent="0.2">
      <c r="A11" s="1" t="s">
        <v>41</v>
      </c>
      <c r="B11" s="1" t="s">
        <v>2</v>
      </c>
      <c r="C11" s="1" t="s">
        <v>61</v>
      </c>
      <c r="D11" s="1">
        <v>50</v>
      </c>
      <c r="E11" s="1" t="s">
        <v>51</v>
      </c>
      <c r="F11" s="2">
        <v>27573</v>
      </c>
      <c r="G11" s="1" t="s">
        <v>14</v>
      </c>
      <c r="H11" s="1">
        <v>164</v>
      </c>
      <c r="I11" s="1">
        <v>69</v>
      </c>
      <c r="J11" s="3">
        <f t="shared" si="0"/>
        <v>25.7</v>
      </c>
      <c r="K11" s="2">
        <v>46028</v>
      </c>
      <c r="L11" s="1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A2FA-4CE5-41F5-91C0-3A1525E9E3D1}">
  <dimension ref="A1:I11"/>
  <sheetViews>
    <sheetView tabSelected="1" topLeftCell="H1" workbookViewId="0">
      <selection activeCell="E17" sqref="E17"/>
    </sheetView>
  </sheetViews>
  <sheetFormatPr defaultRowHeight="15" x14ac:dyDescent="0.2"/>
  <cols>
    <col min="1" max="1" width="12.375" customWidth="1"/>
    <col min="2" max="2" width="15.46875" customWidth="1"/>
    <col min="3" max="3" width="14.9296875" customWidth="1"/>
    <col min="4" max="4" width="24.34765625" customWidth="1"/>
    <col min="5" max="5" width="16.94921875" customWidth="1"/>
    <col min="6" max="6" width="13.71875" customWidth="1"/>
    <col min="7" max="7" width="28.65234375" customWidth="1"/>
    <col min="8" max="8" width="29.99609375" customWidth="1"/>
    <col min="9" max="9" width="26.90234375" customWidth="1"/>
    <col min="10" max="11" width="11.296875" customWidth="1"/>
  </cols>
  <sheetData>
    <row r="1" spans="1:9" x14ac:dyDescent="0.2">
      <c r="A1" s="6" t="s">
        <v>15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</row>
    <row r="2" spans="1:9" x14ac:dyDescent="0.2">
      <c r="A2" s="4" t="s">
        <v>1</v>
      </c>
      <c r="B2" s="4" t="s">
        <v>27</v>
      </c>
      <c r="C2" s="4" t="s">
        <v>27</v>
      </c>
      <c r="D2" s="4" t="s">
        <v>28</v>
      </c>
      <c r="E2" s="4" t="s">
        <v>29</v>
      </c>
      <c r="F2" s="4" t="s">
        <v>28</v>
      </c>
      <c r="G2" s="4">
        <v>8</v>
      </c>
      <c r="H2" s="4" t="s">
        <v>32</v>
      </c>
      <c r="I2" s="4" t="s">
        <v>27</v>
      </c>
    </row>
    <row r="3" spans="1:9" x14ac:dyDescent="0.2">
      <c r="A3" s="4" t="s">
        <v>25</v>
      </c>
      <c r="B3" s="4" t="s">
        <v>28</v>
      </c>
      <c r="C3" s="4" t="s">
        <v>28</v>
      </c>
      <c r="D3" s="4" t="s">
        <v>28</v>
      </c>
      <c r="E3" s="4" t="s">
        <v>29</v>
      </c>
      <c r="F3" s="4" t="s">
        <v>28</v>
      </c>
      <c r="G3" s="4">
        <v>5</v>
      </c>
      <c r="H3" s="4" t="s">
        <v>32</v>
      </c>
      <c r="I3" s="4" t="s">
        <v>28</v>
      </c>
    </row>
    <row r="4" spans="1:9" x14ac:dyDescent="0.2">
      <c r="A4" s="4" t="s">
        <v>26</v>
      </c>
      <c r="B4" s="4" t="s">
        <v>27</v>
      </c>
      <c r="C4" s="4" t="s">
        <v>27</v>
      </c>
      <c r="D4" s="4" t="s">
        <v>27</v>
      </c>
      <c r="E4" s="4" t="s">
        <v>31</v>
      </c>
      <c r="F4" s="4" t="s">
        <v>27</v>
      </c>
      <c r="G4" s="4">
        <v>12</v>
      </c>
      <c r="H4" s="4" t="s">
        <v>62</v>
      </c>
      <c r="I4" s="4" t="s">
        <v>27</v>
      </c>
    </row>
    <row r="5" spans="1:9" x14ac:dyDescent="0.2">
      <c r="A5" s="4" t="s">
        <v>35</v>
      </c>
      <c r="B5" s="4" t="s">
        <v>27</v>
      </c>
      <c r="C5" s="4" t="s">
        <v>28</v>
      </c>
      <c r="D5" s="4" t="s">
        <v>28</v>
      </c>
      <c r="E5" s="4" t="s">
        <v>29</v>
      </c>
      <c r="F5" s="4" t="s">
        <v>28</v>
      </c>
      <c r="G5" s="4">
        <v>7</v>
      </c>
      <c r="H5" s="4" t="s">
        <v>33</v>
      </c>
      <c r="I5" s="4" t="s">
        <v>27</v>
      </c>
    </row>
    <row r="6" spans="1:9" x14ac:dyDescent="0.2">
      <c r="A6" s="4" t="s">
        <v>36</v>
      </c>
      <c r="B6" s="4" t="s">
        <v>27</v>
      </c>
      <c r="C6" s="4" t="s">
        <v>27</v>
      </c>
      <c r="D6" s="4" t="s">
        <v>28</v>
      </c>
      <c r="E6" s="4" t="s">
        <v>31</v>
      </c>
      <c r="F6" s="4" t="s">
        <v>27</v>
      </c>
      <c r="G6" s="4">
        <v>10</v>
      </c>
      <c r="H6" s="4" t="s">
        <v>32</v>
      </c>
      <c r="I6" s="4" t="s">
        <v>27</v>
      </c>
    </row>
    <row r="7" spans="1:9" x14ac:dyDescent="0.2">
      <c r="A7" s="4" t="s">
        <v>37</v>
      </c>
      <c r="B7" s="4" t="s">
        <v>28</v>
      </c>
      <c r="C7" s="4" t="s">
        <v>28</v>
      </c>
      <c r="D7" s="4" t="s">
        <v>28</v>
      </c>
      <c r="E7" s="4" t="s">
        <v>29</v>
      </c>
      <c r="F7" s="4" t="s">
        <v>28</v>
      </c>
      <c r="G7" s="4">
        <v>4</v>
      </c>
      <c r="H7" s="4" t="s">
        <v>32</v>
      </c>
      <c r="I7" s="4" t="s">
        <v>28</v>
      </c>
    </row>
    <row r="8" spans="1:9" x14ac:dyDescent="0.2">
      <c r="A8" s="4" t="s">
        <v>38</v>
      </c>
      <c r="B8" s="4" t="s">
        <v>27</v>
      </c>
      <c r="C8" s="4" t="s">
        <v>27</v>
      </c>
      <c r="D8" s="4" t="s">
        <v>28</v>
      </c>
      <c r="E8" s="4" t="s">
        <v>30</v>
      </c>
      <c r="F8" s="4" t="s">
        <v>27</v>
      </c>
      <c r="G8" s="4">
        <v>15</v>
      </c>
      <c r="H8" s="4" t="s">
        <v>34</v>
      </c>
      <c r="I8" s="4" t="s">
        <v>27</v>
      </c>
    </row>
    <row r="9" spans="1:9" x14ac:dyDescent="0.2">
      <c r="A9" s="4" t="s">
        <v>39</v>
      </c>
      <c r="B9" s="4" t="s">
        <v>28</v>
      </c>
      <c r="C9" s="4" t="s">
        <v>27</v>
      </c>
      <c r="D9" s="4" t="s">
        <v>28</v>
      </c>
      <c r="E9" s="4" t="s">
        <v>29</v>
      </c>
      <c r="F9" s="4" t="s">
        <v>28</v>
      </c>
      <c r="G9" s="4">
        <v>6</v>
      </c>
      <c r="H9" s="4" t="s">
        <v>32</v>
      </c>
      <c r="I9" s="4" t="s">
        <v>28</v>
      </c>
    </row>
    <row r="10" spans="1:9" x14ac:dyDescent="0.2">
      <c r="A10" s="4" t="s">
        <v>40</v>
      </c>
      <c r="B10" s="4" t="s">
        <v>27</v>
      </c>
      <c r="C10" s="4" t="s">
        <v>27</v>
      </c>
      <c r="D10" s="4" t="s">
        <v>27</v>
      </c>
      <c r="E10" s="4" t="s">
        <v>31</v>
      </c>
      <c r="F10" s="4" t="s">
        <v>28</v>
      </c>
      <c r="G10" s="4">
        <v>14</v>
      </c>
      <c r="H10" s="4" t="s">
        <v>34</v>
      </c>
      <c r="I10" s="4" t="s">
        <v>27</v>
      </c>
    </row>
    <row r="11" spans="1:9" x14ac:dyDescent="0.2">
      <c r="A11" s="4" t="s">
        <v>41</v>
      </c>
      <c r="B11" s="4" t="s">
        <v>28</v>
      </c>
      <c r="C11" s="4" t="s">
        <v>28</v>
      </c>
      <c r="D11" s="4" t="s">
        <v>28</v>
      </c>
      <c r="E11" s="4" t="s">
        <v>29</v>
      </c>
      <c r="F11" s="4" t="s">
        <v>28</v>
      </c>
      <c r="G11" s="4">
        <v>5</v>
      </c>
      <c r="H11" s="4" t="s">
        <v>33</v>
      </c>
      <c r="I11" s="4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568B-A0E3-4271-8323-46EFC6E8CC08}">
  <dimension ref="A1:I11"/>
  <sheetViews>
    <sheetView workbookViewId="0">
      <selection activeCell="D8" sqref="D8"/>
    </sheetView>
  </sheetViews>
  <sheetFormatPr defaultRowHeight="15" x14ac:dyDescent="0.2"/>
  <cols>
    <col min="1" max="1" width="12.375" customWidth="1"/>
    <col min="2" max="2" width="16.8125" customWidth="1"/>
    <col min="3" max="3" width="20.17578125" customWidth="1"/>
    <col min="4" max="4" width="30.40234375" customWidth="1"/>
    <col min="5" max="5" width="26.36328125" customWidth="1"/>
    <col min="6" max="6" width="24.75" customWidth="1"/>
    <col min="7" max="7" width="25.15234375" customWidth="1"/>
    <col min="8" max="8" width="21.25390625" customWidth="1"/>
    <col min="9" max="9" width="23.13671875" customWidth="1"/>
    <col min="13" max="13" width="15.73828125" customWidth="1"/>
    <col min="14" max="14" width="21.38671875" customWidth="1"/>
    <col min="15" max="15" width="12.23828125" customWidth="1"/>
  </cols>
  <sheetData>
    <row r="1" spans="1:9" x14ac:dyDescent="0.2">
      <c r="A1" s="7" t="s">
        <v>15</v>
      </c>
      <c r="B1" s="7" t="s">
        <v>63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</row>
    <row r="2" spans="1:9" x14ac:dyDescent="0.2">
      <c r="A2" s="8" t="s">
        <v>1</v>
      </c>
      <c r="B2" s="9">
        <v>46024</v>
      </c>
      <c r="C2" s="8">
        <v>8.1999999999999993</v>
      </c>
      <c r="D2" s="8">
        <v>168</v>
      </c>
      <c r="E2" s="8" t="s">
        <v>27</v>
      </c>
      <c r="F2" s="8" t="s">
        <v>27</v>
      </c>
      <c r="G2" s="8" t="s">
        <v>28</v>
      </c>
      <c r="H2" s="8" t="s">
        <v>71</v>
      </c>
      <c r="I2" s="8" t="s">
        <v>72</v>
      </c>
    </row>
    <row r="3" spans="1:9" x14ac:dyDescent="0.2">
      <c r="A3" s="8" t="s">
        <v>25</v>
      </c>
      <c r="B3" s="9">
        <v>46024</v>
      </c>
      <c r="C3" s="8">
        <v>7.8</v>
      </c>
      <c r="D3" s="8">
        <v>154</v>
      </c>
      <c r="E3" s="8" t="s">
        <v>27</v>
      </c>
      <c r="F3" s="8" t="s">
        <v>27</v>
      </c>
      <c r="G3" s="8" t="s">
        <v>28</v>
      </c>
      <c r="H3" s="8" t="s">
        <v>71</v>
      </c>
      <c r="I3" s="8" t="s">
        <v>72</v>
      </c>
    </row>
    <row r="4" spans="1:9" x14ac:dyDescent="0.2">
      <c r="A4" s="8" t="s">
        <v>26</v>
      </c>
      <c r="B4" s="9">
        <v>46025</v>
      </c>
      <c r="C4" s="8">
        <v>8.9</v>
      </c>
      <c r="D4" s="8">
        <v>182</v>
      </c>
      <c r="E4" s="8" t="s">
        <v>27</v>
      </c>
      <c r="F4" s="8" t="s">
        <v>27</v>
      </c>
      <c r="G4" s="8" t="s">
        <v>28</v>
      </c>
      <c r="H4" s="8" t="s">
        <v>71</v>
      </c>
      <c r="I4" s="8" t="s">
        <v>72</v>
      </c>
    </row>
    <row r="5" spans="1:9" x14ac:dyDescent="0.2">
      <c r="A5" s="8" t="s">
        <v>35</v>
      </c>
      <c r="B5" s="9">
        <v>46025</v>
      </c>
      <c r="C5" s="8">
        <v>7.5</v>
      </c>
      <c r="D5" s="8">
        <v>148</v>
      </c>
      <c r="E5" s="8" t="s">
        <v>27</v>
      </c>
      <c r="F5" s="8" t="s">
        <v>27</v>
      </c>
      <c r="G5" s="8" t="s">
        <v>28</v>
      </c>
      <c r="H5" s="8" t="s">
        <v>71</v>
      </c>
      <c r="I5" s="8" t="s">
        <v>72</v>
      </c>
    </row>
    <row r="6" spans="1:9" x14ac:dyDescent="0.2">
      <c r="A6" s="8" t="s">
        <v>36</v>
      </c>
      <c r="B6" s="9">
        <v>46026</v>
      </c>
      <c r="C6" s="8">
        <v>8.4</v>
      </c>
      <c r="D6" s="8">
        <v>175</v>
      </c>
      <c r="E6" s="8" t="s">
        <v>27</v>
      </c>
      <c r="F6" s="8" t="s">
        <v>27</v>
      </c>
      <c r="G6" s="8" t="s">
        <v>28</v>
      </c>
      <c r="H6" s="8" t="s">
        <v>71</v>
      </c>
      <c r="I6" s="8" t="s">
        <v>72</v>
      </c>
    </row>
    <row r="7" spans="1:9" x14ac:dyDescent="0.2">
      <c r="A7" s="8" t="s">
        <v>37</v>
      </c>
      <c r="B7" s="9">
        <v>46026</v>
      </c>
      <c r="C7" s="8">
        <v>7.6</v>
      </c>
      <c r="D7" s="8">
        <v>142</v>
      </c>
      <c r="E7" s="8" t="s">
        <v>27</v>
      </c>
      <c r="F7" s="8" t="s">
        <v>27</v>
      </c>
      <c r="G7" s="8" t="s">
        <v>28</v>
      </c>
      <c r="H7" s="8" t="s">
        <v>71</v>
      </c>
      <c r="I7" s="8" t="s">
        <v>72</v>
      </c>
    </row>
    <row r="8" spans="1:9" x14ac:dyDescent="0.2">
      <c r="A8" s="8" t="s">
        <v>38</v>
      </c>
      <c r="B8" s="9">
        <v>46027</v>
      </c>
      <c r="C8" s="8">
        <v>9.1</v>
      </c>
      <c r="D8" s="8">
        <v>190</v>
      </c>
      <c r="E8" s="8" t="s">
        <v>27</v>
      </c>
      <c r="F8" s="8" t="s">
        <v>27</v>
      </c>
      <c r="G8" s="8" t="s">
        <v>28</v>
      </c>
      <c r="H8" s="8" t="s">
        <v>71</v>
      </c>
      <c r="I8" s="8" t="s">
        <v>72</v>
      </c>
    </row>
    <row r="9" spans="1:9" x14ac:dyDescent="0.2">
      <c r="A9" s="8" t="s">
        <v>39</v>
      </c>
      <c r="B9" s="9">
        <v>46027</v>
      </c>
      <c r="C9" s="8">
        <v>8</v>
      </c>
      <c r="D9" s="8">
        <v>160</v>
      </c>
      <c r="E9" s="8" t="s">
        <v>27</v>
      </c>
      <c r="F9" s="8" t="s">
        <v>27</v>
      </c>
      <c r="G9" s="8" t="s">
        <v>28</v>
      </c>
      <c r="H9" s="8" t="s">
        <v>71</v>
      </c>
      <c r="I9" s="8" t="s">
        <v>72</v>
      </c>
    </row>
    <row r="10" spans="1:9" x14ac:dyDescent="0.2">
      <c r="A10" s="8" t="s">
        <v>40</v>
      </c>
      <c r="B10" s="9">
        <v>46028</v>
      </c>
      <c r="C10" s="8">
        <v>11.2</v>
      </c>
      <c r="D10" s="8">
        <v>265</v>
      </c>
      <c r="E10" s="8" t="s">
        <v>27</v>
      </c>
      <c r="F10" s="8" t="s">
        <v>28</v>
      </c>
      <c r="G10" s="8" t="s">
        <v>27</v>
      </c>
      <c r="H10" s="8" t="s">
        <v>73</v>
      </c>
      <c r="I10" s="8" t="s">
        <v>74</v>
      </c>
    </row>
    <row r="11" spans="1:9" x14ac:dyDescent="0.2">
      <c r="A11" s="8" t="s">
        <v>41</v>
      </c>
      <c r="B11" s="9">
        <v>46028</v>
      </c>
      <c r="C11" s="8">
        <v>7.1</v>
      </c>
      <c r="D11" s="8">
        <v>138</v>
      </c>
      <c r="E11" s="8" t="s">
        <v>28</v>
      </c>
      <c r="F11" s="8" t="s">
        <v>28</v>
      </c>
      <c r="G11" s="8" t="s">
        <v>28</v>
      </c>
      <c r="H11" s="8" t="s">
        <v>73</v>
      </c>
      <c r="I11" s="8" t="s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D404-BFEB-4274-9FC9-C58202D65E8C}">
  <dimension ref="A1:J9"/>
  <sheetViews>
    <sheetView workbookViewId="0">
      <selection activeCell="E13" sqref="E13"/>
    </sheetView>
  </sheetViews>
  <sheetFormatPr defaultRowHeight="15" x14ac:dyDescent="0.2"/>
  <cols>
    <col min="1" max="1" width="12.375" customWidth="1"/>
    <col min="2" max="2" width="11.8359375" customWidth="1"/>
    <col min="3" max="3" width="18.4296875" customWidth="1"/>
    <col min="4" max="4" width="20.71484375" customWidth="1"/>
    <col min="5" max="5" width="21.5234375" customWidth="1"/>
    <col min="6" max="6" width="18.5625" customWidth="1"/>
    <col min="7" max="7" width="13.44921875" customWidth="1"/>
    <col min="8" max="8" width="12.23828125" customWidth="1"/>
    <col min="9" max="9" width="23.13671875" customWidth="1"/>
    <col min="10" max="10" width="24.34765625" customWidth="1"/>
  </cols>
  <sheetData>
    <row r="1" spans="1:10" x14ac:dyDescent="0.2">
      <c r="A1" s="5" t="s">
        <v>15</v>
      </c>
      <c r="B1" s="5" t="s">
        <v>76</v>
      </c>
      <c r="C1" s="5" t="s">
        <v>77</v>
      </c>
      <c r="D1" s="5" t="s">
        <v>78</v>
      </c>
      <c r="E1" s="5" t="s">
        <v>79</v>
      </c>
      <c r="F1" s="5" t="s">
        <v>80</v>
      </c>
      <c r="G1" s="5" t="s">
        <v>81</v>
      </c>
      <c r="H1" s="5" t="s">
        <v>64</v>
      </c>
      <c r="I1" s="5" t="s">
        <v>82</v>
      </c>
      <c r="J1" s="5" t="s">
        <v>83</v>
      </c>
    </row>
    <row r="2" spans="1:10" x14ac:dyDescent="0.2">
      <c r="A2" s="4" t="s">
        <v>1</v>
      </c>
      <c r="B2" s="10">
        <v>46031</v>
      </c>
      <c r="C2" s="4" t="s">
        <v>84</v>
      </c>
      <c r="D2" s="4">
        <v>132</v>
      </c>
      <c r="E2" s="4">
        <v>82</v>
      </c>
      <c r="F2" s="4">
        <v>76</v>
      </c>
      <c r="G2" s="4">
        <v>78</v>
      </c>
      <c r="H2" s="4">
        <v>8.1999999999999993</v>
      </c>
      <c r="I2" s="4" t="s">
        <v>27</v>
      </c>
      <c r="J2" s="4" t="s">
        <v>85</v>
      </c>
    </row>
    <row r="3" spans="1:10" x14ac:dyDescent="0.2">
      <c r="A3" s="4" t="s">
        <v>25</v>
      </c>
      <c r="B3" s="10">
        <v>46031</v>
      </c>
      <c r="C3" s="4" t="s">
        <v>86</v>
      </c>
      <c r="D3" s="4">
        <v>128</v>
      </c>
      <c r="E3" s="4">
        <v>80</v>
      </c>
      <c r="F3" s="4">
        <v>72</v>
      </c>
      <c r="G3" s="4">
        <v>68</v>
      </c>
      <c r="H3" s="4">
        <v>7.8</v>
      </c>
      <c r="I3" s="4" t="s">
        <v>27</v>
      </c>
      <c r="J3" s="4" t="s">
        <v>85</v>
      </c>
    </row>
    <row r="4" spans="1:10" x14ac:dyDescent="0.2">
      <c r="A4" s="4" t="s">
        <v>26</v>
      </c>
      <c r="B4" s="10">
        <v>46032</v>
      </c>
      <c r="C4" s="4" t="s">
        <v>84</v>
      </c>
      <c r="D4" s="4">
        <v>140</v>
      </c>
      <c r="E4" s="4">
        <v>86</v>
      </c>
      <c r="F4" s="4">
        <v>78</v>
      </c>
      <c r="G4" s="4">
        <v>82</v>
      </c>
      <c r="H4" s="4">
        <v>8.9</v>
      </c>
      <c r="I4" s="4" t="s">
        <v>27</v>
      </c>
      <c r="J4" s="4" t="s">
        <v>85</v>
      </c>
    </row>
    <row r="5" spans="1:10" x14ac:dyDescent="0.2">
      <c r="A5" s="4" t="s">
        <v>35</v>
      </c>
      <c r="B5" s="10">
        <v>46032</v>
      </c>
      <c r="C5" s="4" t="s">
        <v>86</v>
      </c>
      <c r="D5" s="4">
        <v>126</v>
      </c>
      <c r="E5" s="4">
        <v>78</v>
      </c>
      <c r="F5" s="4">
        <v>74</v>
      </c>
      <c r="G5" s="4">
        <v>71</v>
      </c>
      <c r="H5" s="4">
        <v>7.5</v>
      </c>
      <c r="I5" s="4" t="s">
        <v>27</v>
      </c>
      <c r="J5" s="4" t="s">
        <v>85</v>
      </c>
    </row>
    <row r="6" spans="1:10" x14ac:dyDescent="0.2">
      <c r="A6" s="4" t="s">
        <v>36</v>
      </c>
      <c r="B6" s="10">
        <v>46033</v>
      </c>
      <c r="C6" s="4" t="s">
        <v>84</v>
      </c>
      <c r="D6" s="4">
        <v>136</v>
      </c>
      <c r="E6" s="4">
        <v>84</v>
      </c>
      <c r="F6" s="4">
        <v>77</v>
      </c>
      <c r="G6" s="4">
        <v>76</v>
      </c>
      <c r="H6" s="4">
        <v>8.4</v>
      </c>
      <c r="I6" s="4" t="s">
        <v>27</v>
      </c>
      <c r="J6" s="4" t="s">
        <v>85</v>
      </c>
    </row>
    <row r="7" spans="1:10" x14ac:dyDescent="0.2">
      <c r="A7" s="4" t="s">
        <v>37</v>
      </c>
      <c r="B7" s="10">
        <v>46033</v>
      </c>
      <c r="C7" s="4" t="s">
        <v>86</v>
      </c>
      <c r="D7" s="4">
        <v>124</v>
      </c>
      <c r="E7" s="4">
        <v>76</v>
      </c>
      <c r="F7" s="4">
        <v>70</v>
      </c>
      <c r="G7" s="4">
        <v>65</v>
      </c>
      <c r="H7" s="4">
        <v>7.6</v>
      </c>
      <c r="I7" s="4" t="s">
        <v>27</v>
      </c>
      <c r="J7" s="4" t="s">
        <v>85</v>
      </c>
    </row>
    <row r="8" spans="1:10" x14ac:dyDescent="0.2">
      <c r="A8" s="4" t="s">
        <v>38</v>
      </c>
      <c r="B8" s="10">
        <v>46034</v>
      </c>
      <c r="C8" s="4" t="s">
        <v>84</v>
      </c>
      <c r="D8" s="4">
        <v>142</v>
      </c>
      <c r="E8" s="4">
        <v>88</v>
      </c>
      <c r="F8" s="4">
        <v>80</v>
      </c>
      <c r="G8" s="4">
        <v>88</v>
      </c>
      <c r="H8" s="4">
        <v>9.1</v>
      </c>
      <c r="I8" s="4" t="s">
        <v>27</v>
      </c>
      <c r="J8" s="4" t="s">
        <v>85</v>
      </c>
    </row>
    <row r="9" spans="1:10" x14ac:dyDescent="0.2">
      <c r="A9" s="4" t="s">
        <v>39</v>
      </c>
      <c r="B9" s="10">
        <v>46034</v>
      </c>
      <c r="C9" s="4" t="s">
        <v>86</v>
      </c>
      <c r="D9" s="4">
        <v>130</v>
      </c>
      <c r="E9" s="4">
        <v>82</v>
      </c>
      <c r="F9" s="4">
        <v>73</v>
      </c>
      <c r="G9" s="4">
        <v>63</v>
      </c>
      <c r="H9" s="4">
        <v>8</v>
      </c>
      <c r="I9" s="4" t="s">
        <v>27</v>
      </c>
      <c r="J9" s="4" t="s">
        <v>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D94A-04CD-403A-A862-68D39F65339E}">
  <dimension ref="A1:I9"/>
  <sheetViews>
    <sheetView workbookViewId="0">
      <selection activeCell="E5" sqref="E5"/>
    </sheetView>
  </sheetViews>
  <sheetFormatPr defaultRowHeight="15" x14ac:dyDescent="0.2"/>
  <cols>
    <col min="1" max="1" width="12.375" customWidth="1"/>
    <col min="2" max="2" width="11.8359375" customWidth="1"/>
    <col min="3" max="3" width="13.44921875" customWidth="1"/>
    <col min="4" max="4" width="20.71484375" customWidth="1"/>
    <col min="5" max="5" width="21.5234375" customWidth="1"/>
    <col min="6" max="6" width="18.5625" customWidth="1"/>
    <col min="7" max="7" width="27.84375" customWidth="1"/>
    <col min="8" max="8" width="16.0078125" customWidth="1"/>
    <col min="9" max="9" width="24.34765625" customWidth="1"/>
  </cols>
  <sheetData>
    <row r="1" spans="1:9" x14ac:dyDescent="0.2">
      <c r="A1" s="7" t="s">
        <v>15</v>
      </c>
      <c r="B1" s="7" t="s">
        <v>76</v>
      </c>
      <c r="C1" s="7" t="s">
        <v>81</v>
      </c>
      <c r="D1" s="7" t="s">
        <v>78</v>
      </c>
      <c r="E1" s="7" t="s">
        <v>79</v>
      </c>
      <c r="F1" s="7" t="s">
        <v>80</v>
      </c>
      <c r="G1" s="7" t="s">
        <v>87</v>
      </c>
      <c r="H1" s="7" t="s">
        <v>88</v>
      </c>
      <c r="I1" s="7" t="s">
        <v>83</v>
      </c>
    </row>
    <row r="2" spans="1:9" x14ac:dyDescent="0.2">
      <c r="A2" s="8" t="s">
        <v>1</v>
      </c>
      <c r="B2" s="9">
        <v>46059</v>
      </c>
      <c r="C2" s="8">
        <v>77.5</v>
      </c>
      <c r="D2" s="8">
        <v>130</v>
      </c>
      <c r="E2" s="8">
        <v>80</v>
      </c>
      <c r="F2" s="8">
        <v>74</v>
      </c>
      <c r="G2" s="8">
        <v>100</v>
      </c>
      <c r="H2" s="8" t="s">
        <v>28</v>
      </c>
      <c r="I2" s="8" t="s">
        <v>89</v>
      </c>
    </row>
    <row r="3" spans="1:9" x14ac:dyDescent="0.2">
      <c r="A3" s="8" t="s">
        <v>25</v>
      </c>
      <c r="B3" s="9">
        <v>46059</v>
      </c>
      <c r="C3" s="8">
        <v>67.8</v>
      </c>
      <c r="D3" s="8">
        <v>126</v>
      </c>
      <c r="E3" s="8">
        <v>78</v>
      </c>
      <c r="F3" s="8">
        <v>72</v>
      </c>
      <c r="G3" s="8">
        <v>100</v>
      </c>
      <c r="H3" s="8" t="s">
        <v>28</v>
      </c>
      <c r="I3" s="8" t="s">
        <v>90</v>
      </c>
    </row>
    <row r="4" spans="1:9" x14ac:dyDescent="0.2">
      <c r="A4" s="8" t="s">
        <v>26</v>
      </c>
      <c r="B4" s="9">
        <v>46060</v>
      </c>
      <c r="C4" s="8">
        <v>81.5</v>
      </c>
      <c r="D4" s="8">
        <v>138</v>
      </c>
      <c r="E4" s="8">
        <v>84</v>
      </c>
      <c r="F4" s="8">
        <v>76</v>
      </c>
      <c r="G4" s="8">
        <v>95</v>
      </c>
      <c r="H4" s="8" t="s">
        <v>91</v>
      </c>
      <c r="I4" s="8" t="s">
        <v>92</v>
      </c>
    </row>
    <row r="5" spans="1:9" x14ac:dyDescent="0.2">
      <c r="A5" s="8" t="s">
        <v>35</v>
      </c>
      <c r="B5" s="9">
        <v>46060</v>
      </c>
      <c r="C5" s="8">
        <v>70.8</v>
      </c>
      <c r="D5" s="8">
        <v>124</v>
      </c>
      <c r="E5" s="8">
        <v>76</v>
      </c>
      <c r="F5" s="8">
        <v>72</v>
      </c>
      <c r="G5" s="8">
        <v>100</v>
      </c>
      <c r="H5" s="8" t="s">
        <v>28</v>
      </c>
      <c r="I5" s="8" t="s">
        <v>93</v>
      </c>
    </row>
    <row r="6" spans="1:9" x14ac:dyDescent="0.2">
      <c r="A6" s="8" t="s">
        <v>36</v>
      </c>
      <c r="B6" s="9">
        <v>46061</v>
      </c>
      <c r="C6" s="8">
        <v>75.5</v>
      </c>
      <c r="D6" s="8">
        <v>134</v>
      </c>
      <c r="E6" s="8">
        <v>82</v>
      </c>
      <c r="F6" s="8">
        <v>75</v>
      </c>
      <c r="G6" s="8">
        <v>98</v>
      </c>
      <c r="H6" s="8" t="s">
        <v>28</v>
      </c>
      <c r="I6" s="8" t="s">
        <v>94</v>
      </c>
    </row>
    <row r="7" spans="1:9" x14ac:dyDescent="0.2">
      <c r="A7" s="8" t="s">
        <v>37</v>
      </c>
      <c r="B7" s="9">
        <v>46061</v>
      </c>
      <c r="C7" s="8">
        <v>64.8</v>
      </c>
      <c r="D7" s="8">
        <v>122</v>
      </c>
      <c r="E7" s="8">
        <v>74</v>
      </c>
      <c r="F7" s="8">
        <v>69</v>
      </c>
      <c r="G7" s="8">
        <v>100</v>
      </c>
      <c r="H7" s="8" t="s">
        <v>28</v>
      </c>
      <c r="I7" s="8" t="s">
        <v>95</v>
      </c>
    </row>
    <row r="8" spans="1:9" x14ac:dyDescent="0.2">
      <c r="A8" s="8" t="s">
        <v>38</v>
      </c>
      <c r="B8" s="9">
        <v>46062</v>
      </c>
      <c r="C8" s="8">
        <v>87.2</v>
      </c>
      <c r="D8" s="8">
        <v>140</v>
      </c>
      <c r="E8" s="8">
        <v>86</v>
      </c>
      <c r="F8" s="8">
        <v>78</v>
      </c>
      <c r="G8" s="8">
        <v>95</v>
      </c>
      <c r="H8" s="8" t="s">
        <v>96</v>
      </c>
      <c r="I8" s="8" t="s">
        <v>97</v>
      </c>
    </row>
    <row r="9" spans="1:9" x14ac:dyDescent="0.2">
      <c r="A9" s="8" t="s">
        <v>39</v>
      </c>
      <c r="B9" s="9">
        <v>46062</v>
      </c>
      <c r="C9" s="8">
        <v>62.8</v>
      </c>
      <c r="D9" s="8">
        <v>128</v>
      </c>
      <c r="E9" s="8">
        <v>80</v>
      </c>
      <c r="F9" s="8">
        <v>72</v>
      </c>
      <c r="G9" s="8">
        <v>100</v>
      </c>
      <c r="H9" s="8" t="s">
        <v>28</v>
      </c>
      <c r="I9" s="8" t="s">
        <v>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C7C6-8C9B-4204-B0F1-5E66C2543936}">
  <dimension ref="A1:J9"/>
  <sheetViews>
    <sheetView workbookViewId="0">
      <selection activeCell="E1" sqref="E1"/>
    </sheetView>
  </sheetViews>
  <sheetFormatPr defaultRowHeight="15" x14ac:dyDescent="0.2"/>
  <cols>
    <col min="1" max="1" width="12.375" customWidth="1"/>
    <col min="2" max="2" width="11.8359375" customWidth="1"/>
    <col min="3" max="3" width="13.44921875" customWidth="1"/>
    <col min="4" max="4" width="20.71484375" customWidth="1"/>
    <col min="5" max="5" width="21.5234375" customWidth="1"/>
    <col min="6" max="6" width="18.5625" customWidth="1"/>
    <col min="7" max="7" width="12.23828125" customWidth="1"/>
    <col min="8" max="8" width="27.84375" customWidth="1"/>
    <col min="9" max="9" width="16.0078125" customWidth="1"/>
    <col min="10" max="10" width="24.34765625" customWidth="1"/>
  </cols>
  <sheetData>
    <row r="1" spans="1:10" x14ac:dyDescent="0.2">
      <c r="A1" s="5" t="s">
        <v>15</v>
      </c>
      <c r="B1" s="5" t="s">
        <v>76</v>
      </c>
      <c r="C1" s="5" t="s">
        <v>81</v>
      </c>
      <c r="D1" s="5" t="s">
        <v>78</v>
      </c>
      <c r="E1" s="5" t="s">
        <v>79</v>
      </c>
      <c r="F1" s="5" t="s">
        <v>80</v>
      </c>
      <c r="G1" s="5" t="s">
        <v>64</v>
      </c>
      <c r="H1" s="5" t="s">
        <v>87</v>
      </c>
      <c r="I1" s="5" t="s">
        <v>88</v>
      </c>
      <c r="J1" s="5" t="s">
        <v>83</v>
      </c>
    </row>
    <row r="2" spans="1:10" x14ac:dyDescent="0.2">
      <c r="A2" s="4" t="s">
        <v>1</v>
      </c>
      <c r="B2" s="10">
        <v>46115</v>
      </c>
      <c r="C2" s="4">
        <v>76.8</v>
      </c>
      <c r="D2" s="4">
        <v>128</v>
      </c>
      <c r="E2" s="4">
        <v>80</v>
      </c>
      <c r="F2" s="4">
        <v>72</v>
      </c>
      <c r="G2" s="4">
        <v>7.4</v>
      </c>
      <c r="H2" s="4">
        <v>100</v>
      </c>
      <c r="I2" s="4" t="s">
        <v>28</v>
      </c>
      <c r="J2" s="4" t="s">
        <v>99</v>
      </c>
    </row>
    <row r="3" spans="1:10" x14ac:dyDescent="0.2">
      <c r="A3" s="4" t="s">
        <v>25</v>
      </c>
      <c r="B3" s="10">
        <v>46115</v>
      </c>
      <c r="C3" s="4">
        <v>67.2</v>
      </c>
      <c r="D3" s="4">
        <v>124</v>
      </c>
      <c r="E3" s="4">
        <v>78</v>
      </c>
      <c r="F3" s="4">
        <v>70</v>
      </c>
      <c r="G3" s="4">
        <v>7.6</v>
      </c>
      <c r="H3" s="4">
        <v>100</v>
      </c>
      <c r="I3" s="4" t="s">
        <v>28</v>
      </c>
      <c r="J3" s="4" t="s">
        <v>98</v>
      </c>
    </row>
    <row r="4" spans="1:10" x14ac:dyDescent="0.2">
      <c r="A4" s="4" t="s">
        <v>26</v>
      </c>
      <c r="B4" s="10">
        <v>46116</v>
      </c>
      <c r="C4" s="4">
        <v>80.599999999999994</v>
      </c>
      <c r="D4" s="4">
        <v>136</v>
      </c>
      <c r="E4" s="4">
        <v>82</v>
      </c>
      <c r="F4" s="4">
        <v>75</v>
      </c>
      <c r="G4" s="4">
        <v>8</v>
      </c>
      <c r="H4" s="4">
        <v>98</v>
      </c>
      <c r="I4" s="4" t="s">
        <v>28</v>
      </c>
      <c r="J4" s="4" t="s">
        <v>100</v>
      </c>
    </row>
    <row r="5" spans="1:10" x14ac:dyDescent="0.2">
      <c r="A5" s="4" t="s">
        <v>35</v>
      </c>
      <c r="B5" s="10">
        <v>46116</v>
      </c>
      <c r="C5" s="4">
        <v>70.099999999999994</v>
      </c>
      <c r="D5" s="4">
        <v>122</v>
      </c>
      <c r="E5" s="4">
        <v>76</v>
      </c>
      <c r="F5" s="4">
        <v>72</v>
      </c>
      <c r="G5" s="4">
        <v>7.2</v>
      </c>
      <c r="H5" s="4">
        <v>100</v>
      </c>
      <c r="I5" s="4" t="s">
        <v>28</v>
      </c>
      <c r="J5" s="4" t="s">
        <v>101</v>
      </c>
    </row>
    <row r="6" spans="1:10" x14ac:dyDescent="0.2">
      <c r="A6" s="4" t="s">
        <v>36</v>
      </c>
      <c r="B6" s="10">
        <v>46117</v>
      </c>
      <c r="C6" s="4">
        <v>74.8</v>
      </c>
      <c r="D6" s="4">
        <v>132</v>
      </c>
      <c r="E6" s="4">
        <v>80</v>
      </c>
      <c r="F6" s="4">
        <v>74</v>
      </c>
      <c r="G6" s="4">
        <v>7.6</v>
      </c>
      <c r="H6" s="4">
        <v>100</v>
      </c>
      <c r="I6" s="4" t="s">
        <v>28</v>
      </c>
      <c r="J6" s="4" t="s">
        <v>102</v>
      </c>
    </row>
    <row r="7" spans="1:10" x14ac:dyDescent="0.2">
      <c r="A7" s="4" t="s">
        <v>37</v>
      </c>
      <c r="B7" s="10">
        <v>46117</v>
      </c>
      <c r="C7" s="4">
        <v>64.3</v>
      </c>
      <c r="D7" s="4">
        <v>120</v>
      </c>
      <c r="E7" s="4">
        <v>74</v>
      </c>
      <c r="F7" s="4">
        <v>68</v>
      </c>
      <c r="G7" s="4">
        <v>7.3</v>
      </c>
      <c r="H7" s="4">
        <v>100</v>
      </c>
      <c r="I7" s="4" t="s">
        <v>28</v>
      </c>
      <c r="J7" s="4" t="s">
        <v>98</v>
      </c>
    </row>
    <row r="8" spans="1:10" x14ac:dyDescent="0.2">
      <c r="A8" s="4" t="s">
        <v>38</v>
      </c>
      <c r="B8" s="10">
        <v>46118</v>
      </c>
      <c r="C8" s="4">
        <v>86</v>
      </c>
      <c r="D8" s="4">
        <v>138</v>
      </c>
      <c r="E8" s="4">
        <v>84</v>
      </c>
      <c r="F8" s="4">
        <v>76</v>
      </c>
      <c r="G8" s="4">
        <v>8.1999999999999993</v>
      </c>
      <c r="H8" s="4">
        <v>97</v>
      </c>
      <c r="I8" s="4" t="s">
        <v>28</v>
      </c>
      <c r="J8" s="4" t="s">
        <v>103</v>
      </c>
    </row>
    <row r="9" spans="1:10" x14ac:dyDescent="0.2">
      <c r="A9" s="4" t="s">
        <v>39</v>
      </c>
      <c r="B9" s="10">
        <v>46118</v>
      </c>
      <c r="C9" s="4">
        <v>62.2</v>
      </c>
      <c r="D9" s="4">
        <v>126</v>
      </c>
      <c r="E9" s="4">
        <v>78</v>
      </c>
      <c r="F9" s="4">
        <v>71</v>
      </c>
      <c r="G9" s="4">
        <v>7.5</v>
      </c>
      <c r="H9" s="4">
        <v>100</v>
      </c>
      <c r="I9" s="4" t="s">
        <v>28</v>
      </c>
      <c r="J9" s="4" t="s">
        <v>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F889-BC1D-4843-8295-9F1483421C8A}">
  <dimension ref="A1:J9"/>
  <sheetViews>
    <sheetView workbookViewId="0">
      <selection activeCell="D5" sqref="D5"/>
    </sheetView>
  </sheetViews>
  <sheetFormatPr defaultRowHeight="15" x14ac:dyDescent="0.2"/>
  <cols>
    <col min="1" max="1" width="12.375" customWidth="1"/>
    <col min="2" max="2" width="11.8359375" customWidth="1"/>
    <col min="3" max="3" width="13.44921875" customWidth="1"/>
    <col min="4" max="4" width="20.71484375" customWidth="1"/>
    <col min="5" max="5" width="21.5234375" customWidth="1"/>
    <col min="6" max="6" width="18.5625" customWidth="1"/>
    <col min="7" max="7" width="12.23828125" customWidth="1"/>
    <col min="8" max="8" width="27.84375" customWidth="1"/>
    <col min="9" max="9" width="14.390625" customWidth="1"/>
    <col min="10" max="10" width="24.34765625" customWidth="1"/>
  </cols>
  <sheetData>
    <row r="1" spans="1:10" x14ac:dyDescent="0.2">
      <c r="A1" s="5" t="s">
        <v>15</v>
      </c>
      <c r="B1" s="5" t="s">
        <v>76</v>
      </c>
      <c r="C1" s="5" t="s">
        <v>81</v>
      </c>
      <c r="D1" s="5" t="s">
        <v>78</v>
      </c>
      <c r="E1" s="5" t="s">
        <v>79</v>
      </c>
      <c r="F1" s="5" t="s">
        <v>80</v>
      </c>
      <c r="G1" s="5" t="s">
        <v>64</v>
      </c>
      <c r="H1" s="5" t="s">
        <v>87</v>
      </c>
      <c r="I1" s="5" t="s">
        <v>104</v>
      </c>
      <c r="J1" s="5" t="s">
        <v>83</v>
      </c>
    </row>
    <row r="2" spans="1:10" x14ac:dyDescent="0.2">
      <c r="A2" s="4" t="s">
        <v>1</v>
      </c>
      <c r="B2" s="10">
        <v>46199</v>
      </c>
      <c r="C2" s="4">
        <v>76</v>
      </c>
      <c r="D2" s="4">
        <v>126</v>
      </c>
      <c r="E2" s="4">
        <v>78</v>
      </c>
      <c r="F2" s="4">
        <v>72</v>
      </c>
      <c r="G2" s="4">
        <v>6.9</v>
      </c>
      <c r="H2" s="4">
        <v>100</v>
      </c>
      <c r="I2" s="4" t="s">
        <v>105</v>
      </c>
      <c r="J2" s="4" t="s">
        <v>106</v>
      </c>
    </row>
    <row r="3" spans="1:10" x14ac:dyDescent="0.2">
      <c r="A3" s="4" t="s">
        <v>25</v>
      </c>
      <c r="B3" s="10">
        <v>46199</v>
      </c>
      <c r="C3" s="4">
        <v>66.8</v>
      </c>
      <c r="D3" s="4">
        <v>122</v>
      </c>
      <c r="E3" s="4">
        <v>76</v>
      </c>
      <c r="F3" s="4">
        <v>70</v>
      </c>
      <c r="G3" s="4">
        <v>7.3</v>
      </c>
      <c r="H3" s="4">
        <v>100</v>
      </c>
      <c r="I3" s="4" t="s">
        <v>105</v>
      </c>
      <c r="J3" s="4" t="s">
        <v>93</v>
      </c>
    </row>
    <row r="4" spans="1:10" x14ac:dyDescent="0.2">
      <c r="A4" s="4" t="s">
        <v>26</v>
      </c>
      <c r="B4" s="10">
        <v>46200</v>
      </c>
      <c r="C4" s="4">
        <v>79.8</v>
      </c>
      <c r="D4" s="4">
        <v>134</v>
      </c>
      <c r="E4" s="4">
        <v>80</v>
      </c>
      <c r="F4" s="4">
        <v>74</v>
      </c>
      <c r="G4" s="4">
        <v>7.5</v>
      </c>
      <c r="H4" s="4">
        <v>98</v>
      </c>
      <c r="I4" s="4" t="s">
        <v>105</v>
      </c>
      <c r="J4" s="4" t="s">
        <v>107</v>
      </c>
    </row>
    <row r="5" spans="1:10" x14ac:dyDescent="0.2">
      <c r="A5" s="4" t="s">
        <v>35</v>
      </c>
      <c r="B5" s="10">
        <v>46200</v>
      </c>
      <c r="C5" s="4">
        <v>69.5</v>
      </c>
      <c r="D5" s="4">
        <v>120</v>
      </c>
      <c r="E5" s="4">
        <v>74</v>
      </c>
      <c r="F5" s="4">
        <v>71</v>
      </c>
      <c r="G5" s="4">
        <v>6.8</v>
      </c>
      <c r="H5" s="4">
        <v>100</v>
      </c>
      <c r="I5" s="4" t="s">
        <v>105</v>
      </c>
      <c r="J5" s="4" t="s">
        <v>108</v>
      </c>
    </row>
    <row r="6" spans="1:10" x14ac:dyDescent="0.2">
      <c r="A6" s="4" t="s">
        <v>36</v>
      </c>
      <c r="B6" s="10">
        <v>46201</v>
      </c>
      <c r="C6" s="4">
        <v>74</v>
      </c>
      <c r="D6" s="4">
        <v>130</v>
      </c>
      <c r="E6" s="4">
        <v>80</v>
      </c>
      <c r="F6" s="4">
        <v>73</v>
      </c>
      <c r="G6" s="4">
        <v>7.1</v>
      </c>
      <c r="H6" s="4">
        <v>100</v>
      </c>
      <c r="I6" s="4" t="s">
        <v>105</v>
      </c>
      <c r="J6" s="4" t="s">
        <v>109</v>
      </c>
    </row>
    <row r="7" spans="1:10" x14ac:dyDescent="0.2">
      <c r="A7" s="4" t="s">
        <v>37</v>
      </c>
      <c r="B7" s="10">
        <v>46201</v>
      </c>
      <c r="C7" s="4">
        <v>63.8</v>
      </c>
      <c r="D7" s="4">
        <v>118</v>
      </c>
      <c r="E7" s="4">
        <v>72</v>
      </c>
      <c r="F7" s="4">
        <v>68</v>
      </c>
      <c r="G7" s="4">
        <v>7</v>
      </c>
      <c r="H7" s="4">
        <v>100</v>
      </c>
      <c r="I7" s="4" t="s">
        <v>105</v>
      </c>
      <c r="J7" s="4" t="s">
        <v>110</v>
      </c>
    </row>
    <row r="8" spans="1:10" x14ac:dyDescent="0.2">
      <c r="A8" s="4" t="s">
        <v>38</v>
      </c>
      <c r="B8" s="10">
        <v>46202</v>
      </c>
      <c r="C8" s="4">
        <v>85</v>
      </c>
      <c r="D8" s="4">
        <v>136</v>
      </c>
      <c r="E8" s="4">
        <v>82</v>
      </c>
      <c r="F8" s="4">
        <v>75</v>
      </c>
      <c r="G8" s="4">
        <v>7.7</v>
      </c>
      <c r="H8" s="4">
        <v>97</v>
      </c>
      <c r="I8" s="4" t="s">
        <v>105</v>
      </c>
      <c r="J8" s="4" t="s">
        <v>111</v>
      </c>
    </row>
    <row r="9" spans="1:10" x14ac:dyDescent="0.2">
      <c r="A9" s="4" t="s">
        <v>39</v>
      </c>
      <c r="B9" s="10">
        <v>46202</v>
      </c>
      <c r="C9" s="4">
        <v>61.8</v>
      </c>
      <c r="D9" s="4">
        <v>124</v>
      </c>
      <c r="E9" s="4">
        <v>76</v>
      </c>
      <c r="F9" s="4">
        <v>70</v>
      </c>
      <c r="G9" s="4">
        <v>7.2</v>
      </c>
      <c r="H9" s="4">
        <v>100</v>
      </c>
      <c r="I9" s="4" t="s">
        <v>105</v>
      </c>
      <c r="J9" s="4" t="s">
        <v>112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0B0D-0730-490B-9B0B-E12FF0122F60}">
  <dimension ref="A1:H9"/>
  <sheetViews>
    <sheetView workbookViewId="0">
      <selection activeCell="E6" sqref="E6"/>
    </sheetView>
  </sheetViews>
  <sheetFormatPr defaultRowHeight="15" x14ac:dyDescent="0.2"/>
  <cols>
    <col min="1" max="1" width="12.375" customWidth="1"/>
    <col min="3" max="3" width="12.23828125" customWidth="1"/>
    <col min="4" max="4" width="30.40234375" customWidth="1"/>
    <col min="5" max="5" width="26.36328125" customWidth="1"/>
    <col min="6" max="6" width="11.1640625" customWidth="1"/>
    <col min="7" max="7" width="11.296875" customWidth="1"/>
    <col min="8" max="8" width="15.19921875" customWidth="1"/>
  </cols>
  <sheetData>
    <row r="1" spans="1:8" x14ac:dyDescent="0.2">
      <c r="A1" s="5" t="s">
        <v>15</v>
      </c>
      <c r="B1" s="5" t="s">
        <v>113</v>
      </c>
      <c r="C1" s="5" t="s">
        <v>64</v>
      </c>
      <c r="D1" s="5" t="s">
        <v>65</v>
      </c>
      <c r="E1" s="5" t="s">
        <v>114</v>
      </c>
      <c r="F1" s="5" t="s">
        <v>115</v>
      </c>
      <c r="G1" s="5" t="s">
        <v>116</v>
      </c>
      <c r="H1" s="5" t="s">
        <v>117</v>
      </c>
    </row>
    <row r="2" spans="1:8" x14ac:dyDescent="0.2">
      <c r="A2" s="4" t="s">
        <v>1</v>
      </c>
      <c r="B2" s="4" t="s">
        <v>118</v>
      </c>
      <c r="C2" s="4">
        <v>6.9</v>
      </c>
      <c r="D2" s="4">
        <v>112</v>
      </c>
      <c r="E2" s="4">
        <v>0.9</v>
      </c>
      <c r="F2" s="4">
        <v>28</v>
      </c>
      <c r="G2" s="4">
        <v>25</v>
      </c>
      <c r="H2" s="4" t="s">
        <v>119</v>
      </c>
    </row>
    <row r="3" spans="1:8" x14ac:dyDescent="0.2">
      <c r="A3" s="4" t="s">
        <v>25</v>
      </c>
      <c r="B3" s="4" t="s">
        <v>118</v>
      </c>
      <c r="C3" s="4">
        <v>7.3</v>
      </c>
      <c r="D3" s="4">
        <v>120</v>
      </c>
      <c r="E3" s="4">
        <v>0.8</v>
      </c>
      <c r="F3" s="4">
        <v>30</v>
      </c>
      <c r="G3" s="4">
        <v>27</v>
      </c>
      <c r="H3" s="4" t="s">
        <v>119</v>
      </c>
    </row>
    <row r="4" spans="1:8" x14ac:dyDescent="0.2">
      <c r="A4" s="4" t="s">
        <v>26</v>
      </c>
      <c r="B4" s="4" t="s">
        <v>118</v>
      </c>
      <c r="C4" s="4">
        <v>7.5</v>
      </c>
      <c r="D4" s="4">
        <v>128</v>
      </c>
      <c r="E4" s="4">
        <v>1</v>
      </c>
      <c r="F4" s="4">
        <v>32</v>
      </c>
      <c r="G4" s="4">
        <v>29</v>
      </c>
      <c r="H4" s="4" t="s">
        <v>119</v>
      </c>
    </row>
    <row r="5" spans="1:8" x14ac:dyDescent="0.2">
      <c r="A5" s="4" t="s">
        <v>35</v>
      </c>
      <c r="B5" s="4" t="s">
        <v>118</v>
      </c>
      <c r="C5" s="4">
        <v>6.8</v>
      </c>
      <c r="D5" s="4">
        <v>108</v>
      </c>
      <c r="E5" s="4">
        <v>0.9</v>
      </c>
      <c r="F5" s="4">
        <v>27</v>
      </c>
      <c r="G5" s="4">
        <v>24</v>
      </c>
      <c r="H5" s="4" t="s">
        <v>119</v>
      </c>
    </row>
    <row r="6" spans="1:8" x14ac:dyDescent="0.2">
      <c r="A6" s="4" t="s">
        <v>36</v>
      </c>
      <c r="B6" s="4" t="s">
        <v>118</v>
      </c>
      <c r="C6" s="4">
        <v>7.1</v>
      </c>
      <c r="D6" s="4">
        <v>118</v>
      </c>
      <c r="E6" s="4">
        <v>1</v>
      </c>
      <c r="F6" s="4">
        <v>31</v>
      </c>
      <c r="G6" s="4">
        <v>28</v>
      </c>
      <c r="H6" s="4" t="s">
        <v>119</v>
      </c>
    </row>
    <row r="7" spans="1:8" x14ac:dyDescent="0.2">
      <c r="A7" s="4" t="s">
        <v>37</v>
      </c>
      <c r="B7" s="4" t="s">
        <v>118</v>
      </c>
      <c r="C7" s="4">
        <v>7</v>
      </c>
      <c r="D7" s="4">
        <v>115</v>
      </c>
      <c r="E7" s="4">
        <v>0.8</v>
      </c>
      <c r="F7" s="4">
        <v>29</v>
      </c>
      <c r="G7" s="4">
        <v>26</v>
      </c>
      <c r="H7" s="4" t="s">
        <v>119</v>
      </c>
    </row>
    <row r="8" spans="1:8" x14ac:dyDescent="0.2">
      <c r="A8" s="4" t="s">
        <v>38</v>
      </c>
      <c r="B8" s="4" t="s">
        <v>118</v>
      </c>
      <c r="C8" s="4">
        <v>7.7</v>
      </c>
      <c r="D8" s="4">
        <v>132</v>
      </c>
      <c r="E8" s="4">
        <v>1.1000000000000001</v>
      </c>
      <c r="F8" s="4">
        <v>34</v>
      </c>
      <c r="G8" s="4">
        <v>31</v>
      </c>
      <c r="H8" s="4" t="s">
        <v>119</v>
      </c>
    </row>
    <row r="9" spans="1:8" x14ac:dyDescent="0.2">
      <c r="A9" s="4" t="s">
        <v>39</v>
      </c>
      <c r="B9" s="4" t="s">
        <v>118</v>
      </c>
      <c r="C9" s="4">
        <v>7.2</v>
      </c>
      <c r="D9" s="4">
        <v>119</v>
      </c>
      <c r="E9" s="4">
        <v>0.9</v>
      </c>
      <c r="F9" s="4">
        <v>30</v>
      </c>
      <c r="G9" s="4">
        <v>27</v>
      </c>
      <c r="H9" s="4" t="s">
        <v>119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5494-1EC3-4893-8AED-8C1B6D323858}">
  <dimension ref="A1:H9"/>
  <sheetViews>
    <sheetView workbookViewId="0">
      <selection activeCell="D11" sqref="D11"/>
    </sheetView>
  </sheetViews>
  <sheetFormatPr defaultRowHeight="15" x14ac:dyDescent="0.2"/>
  <cols>
    <col min="1" max="1" width="12.375" customWidth="1"/>
    <col min="3" max="3" width="20.71484375" customWidth="1"/>
    <col min="4" max="4" width="21.5234375" customWidth="1"/>
    <col min="5" max="5" width="18.5625" customWidth="1"/>
    <col min="6" max="6" width="30.9375" customWidth="1"/>
    <col min="7" max="7" width="23.67578125" customWidth="1"/>
    <col min="8" max="8" width="13.44921875" customWidth="1"/>
  </cols>
  <sheetData>
    <row r="1" spans="1:8" x14ac:dyDescent="0.2">
      <c r="A1" s="5" t="s">
        <v>15</v>
      </c>
      <c r="B1" s="5" t="s">
        <v>113</v>
      </c>
      <c r="C1" s="5" t="s">
        <v>78</v>
      </c>
      <c r="D1" s="5" t="s">
        <v>79</v>
      </c>
      <c r="E1" s="5" t="s">
        <v>80</v>
      </c>
      <c r="F1" s="5" t="s">
        <v>120</v>
      </c>
      <c r="G1" s="5" t="s">
        <v>121</v>
      </c>
      <c r="H1" s="5" t="s">
        <v>81</v>
      </c>
    </row>
    <row r="2" spans="1:8" x14ac:dyDescent="0.2">
      <c r="A2" s="4" t="s">
        <v>1</v>
      </c>
      <c r="B2" s="4" t="s">
        <v>118</v>
      </c>
      <c r="C2" s="4">
        <v>126</v>
      </c>
      <c r="D2" s="4">
        <v>78</v>
      </c>
      <c r="E2" s="4">
        <v>72</v>
      </c>
      <c r="F2" s="4">
        <v>16</v>
      </c>
      <c r="G2" s="4">
        <v>36.799999999999997</v>
      </c>
      <c r="H2" s="4">
        <v>76</v>
      </c>
    </row>
    <row r="3" spans="1:8" x14ac:dyDescent="0.2">
      <c r="A3" s="4" t="s">
        <v>25</v>
      </c>
      <c r="B3" s="4" t="s">
        <v>118</v>
      </c>
      <c r="C3" s="4">
        <v>122</v>
      </c>
      <c r="D3" s="4">
        <v>76</v>
      </c>
      <c r="E3" s="4">
        <v>70</v>
      </c>
      <c r="F3" s="4">
        <v>16</v>
      </c>
      <c r="G3" s="4">
        <v>36.700000000000003</v>
      </c>
      <c r="H3" s="4">
        <v>66.8</v>
      </c>
    </row>
    <row r="4" spans="1:8" x14ac:dyDescent="0.2">
      <c r="A4" s="4" t="s">
        <v>26</v>
      </c>
      <c r="B4" s="4" t="s">
        <v>118</v>
      </c>
      <c r="C4" s="4">
        <v>134</v>
      </c>
      <c r="D4" s="4">
        <v>80</v>
      </c>
      <c r="E4" s="4">
        <v>74</v>
      </c>
      <c r="F4" s="4">
        <v>18</v>
      </c>
      <c r="G4" s="4">
        <v>36.9</v>
      </c>
      <c r="H4" s="4">
        <v>79.8</v>
      </c>
    </row>
    <row r="5" spans="1:8" x14ac:dyDescent="0.2">
      <c r="A5" s="4" t="s">
        <v>35</v>
      </c>
      <c r="B5" s="4" t="s">
        <v>118</v>
      </c>
      <c r="C5" s="4">
        <v>120</v>
      </c>
      <c r="D5" s="4">
        <v>74</v>
      </c>
      <c r="E5" s="4">
        <v>71</v>
      </c>
      <c r="F5" s="4">
        <v>16</v>
      </c>
      <c r="G5" s="4">
        <v>36.6</v>
      </c>
      <c r="H5" s="4">
        <v>69.5</v>
      </c>
    </row>
    <row r="6" spans="1:8" x14ac:dyDescent="0.2">
      <c r="A6" s="4" t="s">
        <v>36</v>
      </c>
      <c r="B6" s="4" t="s">
        <v>118</v>
      </c>
      <c r="C6" s="4">
        <v>130</v>
      </c>
      <c r="D6" s="4">
        <v>80</v>
      </c>
      <c r="E6" s="4">
        <v>73</v>
      </c>
      <c r="F6" s="4">
        <v>17</v>
      </c>
      <c r="G6" s="4">
        <v>36.799999999999997</v>
      </c>
      <c r="H6" s="4">
        <v>74</v>
      </c>
    </row>
    <row r="7" spans="1:8" x14ac:dyDescent="0.2">
      <c r="A7" s="4" t="s">
        <v>37</v>
      </c>
      <c r="B7" s="4" t="s">
        <v>118</v>
      </c>
      <c r="C7" s="4">
        <v>118</v>
      </c>
      <c r="D7" s="4">
        <v>72</v>
      </c>
      <c r="E7" s="4">
        <v>68</v>
      </c>
      <c r="F7" s="4">
        <v>16</v>
      </c>
      <c r="G7" s="4">
        <v>36.700000000000003</v>
      </c>
      <c r="H7" s="4">
        <v>63.8</v>
      </c>
    </row>
    <row r="8" spans="1:8" x14ac:dyDescent="0.2">
      <c r="A8" s="4" t="s">
        <v>38</v>
      </c>
      <c r="B8" s="4" t="s">
        <v>118</v>
      </c>
      <c r="C8" s="4">
        <v>136</v>
      </c>
      <c r="D8" s="4">
        <v>82</v>
      </c>
      <c r="E8" s="4">
        <v>75</v>
      </c>
      <c r="F8" s="4">
        <v>18</v>
      </c>
      <c r="G8" s="4">
        <v>37</v>
      </c>
      <c r="H8" s="4">
        <v>85</v>
      </c>
    </row>
    <row r="9" spans="1:8" x14ac:dyDescent="0.2">
      <c r="A9" s="4" t="s">
        <v>39</v>
      </c>
      <c r="B9" s="4" t="s">
        <v>118</v>
      </c>
      <c r="C9" s="4">
        <v>124</v>
      </c>
      <c r="D9" s="4">
        <v>76</v>
      </c>
      <c r="E9" s="4">
        <v>70</v>
      </c>
      <c r="F9" s="4">
        <v>16</v>
      </c>
      <c r="G9" s="4">
        <v>36.799999999999997</v>
      </c>
      <c r="H9" s="4">
        <v>61.8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62DB-90C8-4A4C-8916-F652FF2C2555}">
  <dimension ref="A1:I3"/>
  <sheetViews>
    <sheetView workbookViewId="0">
      <selection activeCell="F16" sqref="F16"/>
    </sheetView>
  </sheetViews>
  <sheetFormatPr defaultRowHeight="15" x14ac:dyDescent="0.2"/>
  <cols>
    <col min="2" max="2" width="12.375" customWidth="1"/>
    <col min="3" max="3" width="13.31640625" customWidth="1"/>
    <col min="4" max="4" width="12.10546875" customWidth="1"/>
    <col min="5" max="5" width="11.296875" customWidth="1"/>
    <col min="6" max="6" width="10.625" customWidth="1"/>
    <col min="7" max="7" width="11.02734375" customWidth="1"/>
    <col min="8" max="8" width="22.734375" customWidth="1"/>
    <col min="9" max="9" width="11.43359375" customWidth="1"/>
  </cols>
  <sheetData>
    <row r="1" spans="1:9" x14ac:dyDescent="0.2">
      <c r="A1" s="5" t="s">
        <v>122</v>
      </c>
      <c r="B1" s="5" t="s">
        <v>15</v>
      </c>
      <c r="C1" s="5" t="s">
        <v>123</v>
      </c>
      <c r="D1" s="5" t="s">
        <v>124</v>
      </c>
      <c r="E1" s="5" t="s">
        <v>125</v>
      </c>
      <c r="F1" s="5" t="s">
        <v>126</v>
      </c>
      <c r="G1" s="5" t="s">
        <v>127</v>
      </c>
      <c r="H1" s="5" t="s">
        <v>128</v>
      </c>
      <c r="I1" s="5" t="s">
        <v>129</v>
      </c>
    </row>
    <row r="2" spans="1:9" x14ac:dyDescent="0.2">
      <c r="A2" s="4" t="s">
        <v>130</v>
      </c>
      <c r="B2" s="4" t="s">
        <v>26</v>
      </c>
      <c r="C2" s="4" t="s">
        <v>131</v>
      </c>
      <c r="D2" s="10">
        <v>46060</v>
      </c>
      <c r="E2" s="10">
        <v>46062</v>
      </c>
      <c r="F2" s="4" t="s">
        <v>132</v>
      </c>
      <c r="G2" s="4" t="s">
        <v>28</v>
      </c>
      <c r="H2" s="4" t="s">
        <v>133</v>
      </c>
      <c r="I2" s="4" t="s">
        <v>134</v>
      </c>
    </row>
    <row r="3" spans="1:9" x14ac:dyDescent="0.2">
      <c r="A3" s="4" t="s">
        <v>135</v>
      </c>
      <c r="B3" s="4" t="s">
        <v>38</v>
      </c>
      <c r="C3" s="4" t="s">
        <v>136</v>
      </c>
      <c r="D3" s="10">
        <v>46062</v>
      </c>
      <c r="E3" s="10">
        <v>46064</v>
      </c>
      <c r="F3" s="4" t="s">
        <v>132</v>
      </c>
      <c r="G3" s="4" t="s">
        <v>28</v>
      </c>
      <c r="H3" s="4" t="s">
        <v>133</v>
      </c>
      <c r="I3" s="4" t="s">
        <v>134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E929-189F-4EF7-8E41-D7C76B10E984}">
  <dimension ref="M1:T9"/>
  <sheetViews>
    <sheetView topLeftCell="M1" workbookViewId="0">
      <selection activeCell="S12" sqref="S12"/>
    </sheetView>
  </sheetViews>
  <sheetFormatPr defaultRowHeight="15" x14ac:dyDescent="0.2"/>
  <cols>
    <col min="13" max="13" width="12.375" customWidth="1"/>
    <col min="14" max="14" width="13.1796875" customWidth="1"/>
    <col min="15" max="15" width="12.10546875" customWidth="1"/>
    <col min="18" max="18" width="12.10546875" customWidth="1"/>
    <col min="19" max="19" width="11.296875" customWidth="1"/>
    <col min="20" max="20" width="10.625" customWidth="1"/>
  </cols>
  <sheetData>
    <row r="1" spans="13:20" x14ac:dyDescent="0.2">
      <c r="M1" s="5" t="s">
        <v>15</v>
      </c>
      <c r="N1" s="5" t="s">
        <v>137</v>
      </c>
      <c r="O1" s="5" t="s">
        <v>138</v>
      </c>
      <c r="P1" s="5" t="s">
        <v>139</v>
      </c>
      <c r="Q1" s="5" t="s">
        <v>140</v>
      </c>
      <c r="R1" s="5" t="s">
        <v>124</v>
      </c>
      <c r="S1" s="5" t="s">
        <v>125</v>
      </c>
      <c r="T1" s="5" t="s">
        <v>141</v>
      </c>
    </row>
    <row r="2" spans="13:20" ht="27.75" x14ac:dyDescent="0.2">
      <c r="M2" s="4" t="s">
        <v>1</v>
      </c>
      <c r="N2" s="4" t="s">
        <v>32</v>
      </c>
      <c r="O2" s="4" t="s">
        <v>142</v>
      </c>
      <c r="P2" s="4" t="s">
        <v>143</v>
      </c>
      <c r="Q2" s="4" t="s">
        <v>144</v>
      </c>
      <c r="R2" s="10">
        <v>46024</v>
      </c>
      <c r="S2" s="4" t="s">
        <v>72</v>
      </c>
      <c r="T2" s="4" t="s">
        <v>27</v>
      </c>
    </row>
    <row r="3" spans="13:20" ht="27.75" x14ac:dyDescent="0.2">
      <c r="M3" s="4" t="s">
        <v>25</v>
      </c>
      <c r="N3" s="4" t="s">
        <v>32</v>
      </c>
      <c r="O3" s="4" t="s">
        <v>142</v>
      </c>
      <c r="P3" s="4" t="s">
        <v>143</v>
      </c>
      <c r="Q3" s="4" t="s">
        <v>144</v>
      </c>
      <c r="R3" s="10">
        <v>46024</v>
      </c>
      <c r="S3" s="4" t="s">
        <v>72</v>
      </c>
      <c r="T3" s="4" t="s">
        <v>27</v>
      </c>
    </row>
    <row r="4" spans="13:20" ht="27.75" x14ac:dyDescent="0.2">
      <c r="M4" s="4" t="s">
        <v>26</v>
      </c>
      <c r="N4" s="4" t="s">
        <v>145</v>
      </c>
      <c r="O4" s="4" t="s">
        <v>142</v>
      </c>
      <c r="P4" s="4" t="s">
        <v>146</v>
      </c>
      <c r="Q4" s="4" t="s">
        <v>144</v>
      </c>
      <c r="R4" s="10">
        <v>46025</v>
      </c>
      <c r="S4" s="4" t="s">
        <v>72</v>
      </c>
      <c r="T4" s="4" t="s">
        <v>27</v>
      </c>
    </row>
    <row r="5" spans="13:20" ht="27.75" x14ac:dyDescent="0.2">
      <c r="M5" s="4" t="s">
        <v>35</v>
      </c>
      <c r="N5" s="4" t="s">
        <v>33</v>
      </c>
      <c r="O5" s="4" t="s">
        <v>142</v>
      </c>
      <c r="P5" s="4" t="s">
        <v>147</v>
      </c>
      <c r="Q5" s="4" t="s">
        <v>144</v>
      </c>
      <c r="R5" s="10">
        <v>46025</v>
      </c>
      <c r="S5" s="4" t="s">
        <v>72</v>
      </c>
      <c r="T5" s="4" t="s">
        <v>27</v>
      </c>
    </row>
    <row r="6" spans="13:20" ht="27.75" x14ac:dyDescent="0.2">
      <c r="M6" s="4" t="s">
        <v>36</v>
      </c>
      <c r="N6" s="4" t="s">
        <v>32</v>
      </c>
      <c r="O6" s="4" t="s">
        <v>142</v>
      </c>
      <c r="P6" s="4" t="s">
        <v>143</v>
      </c>
      <c r="Q6" s="4" t="s">
        <v>144</v>
      </c>
      <c r="R6" s="10">
        <v>46026</v>
      </c>
      <c r="S6" s="4" t="s">
        <v>72</v>
      </c>
      <c r="T6" s="4" t="s">
        <v>27</v>
      </c>
    </row>
    <row r="7" spans="13:20" ht="27.75" x14ac:dyDescent="0.2">
      <c r="M7" s="4" t="s">
        <v>37</v>
      </c>
      <c r="N7" s="4" t="s">
        <v>32</v>
      </c>
      <c r="O7" s="4" t="s">
        <v>142</v>
      </c>
      <c r="P7" s="4" t="s">
        <v>143</v>
      </c>
      <c r="Q7" s="4" t="s">
        <v>144</v>
      </c>
      <c r="R7" s="10">
        <v>46026</v>
      </c>
      <c r="S7" s="4" t="s">
        <v>72</v>
      </c>
      <c r="T7" s="4" t="s">
        <v>27</v>
      </c>
    </row>
    <row r="8" spans="13:20" ht="27.75" x14ac:dyDescent="0.2">
      <c r="M8" s="4" t="s">
        <v>38</v>
      </c>
      <c r="N8" s="4" t="s">
        <v>34</v>
      </c>
      <c r="O8" s="4" t="s">
        <v>142</v>
      </c>
      <c r="P8" s="4" t="s">
        <v>148</v>
      </c>
      <c r="Q8" s="4" t="s">
        <v>149</v>
      </c>
      <c r="R8" s="10">
        <v>46027</v>
      </c>
      <c r="S8" s="4" t="s">
        <v>72</v>
      </c>
      <c r="T8" s="4" t="s">
        <v>27</v>
      </c>
    </row>
    <row r="9" spans="13:20" ht="27.75" x14ac:dyDescent="0.2">
      <c r="M9" s="4" t="s">
        <v>39</v>
      </c>
      <c r="N9" s="4" t="s">
        <v>32</v>
      </c>
      <c r="O9" s="4" t="s">
        <v>142</v>
      </c>
      <c r="P9" s="4" t="s">
        <v>143</v>
      </c>
      <c r="Q9" s="4" t="s">
        <v>144</v>
      </c>
      <c r="R9" s="10">
        <v>46027</v>
      </c>
      <c r="S9" s="4" t="s">
        <v>72</v>
      </c>
      <c r="T9" s="4" t="s">
        <v>27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2760-CDA5-4D9A-9989-31034F95B23A}">
  <dimension ref="A1:G3"/>
  <sheetViews>
    <sheetView workbookViewId="0">
      <selection activeCell="F9" sqref="F9"/>
    </sheetView>
  </sheetViews>
  <sheetFormatPr defaultRowHeight="15" x14ac:dyDescent="0.2"/>
  <cols>
    <col min="1" max="1" width="11.02734375" customWidth="1"/>
    <col min="2" max="2" width="12.375" customWidth="1"/>
    <col min="3" max="3" width="19.50390625" customWidth="1"/>
    <col min="4" max="4" width="11.8359375" customWidth="1"/>
    <col min="5" max="5" width="13.31640625" customWidth="1"/>
    <col min="7" max="7" width="17.75390625" customWidth="1"/>
  </cols>
  <sheetData>
    <row r="1" spans="1:7" x14ac:dyDescent="0.2">
      <c r="A1" s="5" t="s">
        <v>150</v>
      </c>
      <c r="B1" s="5" t="s">
        <v>15</v>
      </c>
      <c r="C1" s="5" t="s">
        <v>151</v>
      </c>
      <c r="D1" s="5" t="s">
        <v>152</v>
      </c>
      <c r="E1" s="5" t="s">
        <v>153</v>
      </c>
      <c r="F1" s="5" t="s">
        <v>154</v>
      </c>
      <c r="G1" s="5" t="s">
        <v>155</v>
      </c>
    </row>
    <row r="2" spans="1:7" ht="41.25" x14ac:dyDescent="0.2">
      <c r="A2" s="4" t="s">
        <v>156</v>
      </c>
      <c r="B2" s="4" t="s">
        <v>26</v>
      </c>
      <c r="C2" s="4" t="s">
        <v>157</v>
      </c>
      <c r="D2" s="4" t="s">
        <v>158</v>
      </c>
      <c r="E2" s="10">
        <v>46061</v>
      </c>
      <c r="F2" s="4" t="s">
        <v>159</v>
      </c>
      <c r="G2" s="10">
        <v>46062</v>
      </c>
    </row>
    <row r="3" spans="1:7" ht="27.75" x14ac:dyDescent="0.2">
      <c r="A3" s="4" t="s">
        <v>160</v>
      </c>
      <c r="B3" s="4" t="s">
        <v>38</v>
      </c>
      <c r="C3" s="4" t="s">
        <v>161</v>
      </c>
      <c r="D3" s="4" t="s">
        <v>158</v>
      </c>
      <c r="E3" s="10">
        <v>46119</v>
      </c>
      <c r="F3" s="4" t="s">
        <v>159</v>
      </c>
      <c r="G3" s="10">
        <v>46120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16C2-7660-4E32-97F6-21B33E8B8142}">
  <dimension ref="A1:F2"/>
  <sheetViews>
    <sheetView workbookViewId="0">
      <selection activeCell="D5" sqref="D5:D8"/>
    </sheetView>
  </sheetViews>
  <sheetFormatPr defaultRowHeight="15" x14ac:dyDescent="0.2"/>
  <cols>
    <col min="1" max="1" width="14.2578125" customWidth="1"/>
    <col min="2" max="2" width="12.375" customWidth="1"/>
    <col min="3" max="3" width="22.8671875" customWidth="1"/>
    <col min="4" max="4" width="9.55078125" bestFit="1" customWidth="1"/>
    <col min="5" max="5" width="10.625" customWidth="1"/>
    <col min="6" max="6" width="14.52734375" customWidth="1"/>
  </cols>
  <sheetData>
    <row r="1" spans="1:6" x14ac:dyDescent="0.2">
      <c r="A1" s="5" t="s">
        <v>162</v>
      </c>
      <c r="B1" s="5" t="s">
        <v>15</v>
      </c>
      <c r="C1" s="5" t="s">
        <v>163</v>
      </c>
      <c r="D1" s="5" t="s">
        <v>164</v>
      </c>
      <c r="E1" s="5" t="s">
        <v>126</v>
      </c>
      <c r="F1" s="5" t="s">
        <v>165</v>
      </c>
    </row>
    <row r="2" spans="1:6" ht="41.25" x14ac:dyDescent="0.2">
      <c r="A2" s="4" t="s">
        <v>166</v>
      </c>
      <c r="B2" s="4" t="s">
        <v>36</v>
      </c>
      <c r="C2" s="4" t="s">
        <v>167</v>
      </c>
      <c r="D2" s="10">
        <v>46063</v>
      </c>
      <c r="E2" s="4" t="s">
        <v>168</v>
      </c>
      <c r="F2" s="4" t="s">
        <v>169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93AC-376F-4280-A267-68D590777761}">
  <dimension ref="A1:M33"/>
  <sheetViews>
    <sheetView topLeftCell="A11" workbookViewId="0">
      <selection activeCell="C5" sqref="C5"/>
    </sheetView>
  </sheetViews>
  <sheetFormatPr defaultRowHeight="15" x14ac:dyDescent="0.2"/>
  <sheetData>
    <row r="1" spans="1:13" x14ac:dyDescent="0.2">
      <c r="A1" s="17" t="s">
        <v>176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x14ac:dyDescent="0.2">
      <c r="A4" s="5" t="s">
        <v>177</v>
      </c>
      <c r="B4" s="5" t="s">
        <v>178</v>
      </c>
    </row>
    <row r="5" spans="1:13" ht="41.25" x14ac:dyDescent="0.2">
      <c r="A5" s="5" t="s">
        <v>179</v>
      </c>
      <c r="B5" s="5">
        <v>10</v>
      </c>
    </row>
    <row r="6" spans="1:13" x14ac:dyDescent="0.2">
      <c r="A6" s="5" t="s">
        <v>180</v>
      </c>
      <c r="B6" s="5">
        <v>10</v>
      </c>
    </row>
    <row r="7" spans="1:13" ht="27.75" x14ac:dyDescent="0.2">
      <c r="A7" s="5" t="s">
        <v>181</v>
      </c>
      <c r="B7" s="5">
        <v>8</v>
      </c>
    </row>
    <row r="8" spans="1:13" ht="27.75" x14ac:dyDescent="0.2">
      <c r="A8" s="5" t="s">
        <v>105</v>
      </c>
      <c r="B8" s="5">
        <v>8</v>
      </c>
    </row>
    <row r="9" spans="1:13" ht="27.75" x14ac:dyDescent="0.2">
      <c r="A9" s="5" t="s">
        <v>182</v>
      </c>
      <c r="B9" s="5">
        <v>2</v>
      </c>
    </row>
    <row r="10" spans="1:13" ht="27.75" x14ac:dyDescent="0.2">
      <c r="A10" s="5" t="s">
        <v>183</v>
      </c>
      <c r="B10" s="5">
        <v>2</v>
      </c>
    </row>
    <row r="11" spans="1:13" ht="41.25" x14ac:dyDescent="0.2">
      <c r="A11" s="5" t="s">
        <v>184</v>
      </c>
      <c r="B11" s="5">
        <v>1</v>
      </c>
    </row>
    <row r="12" spans="1:13" ht="27.75" x14ac:dyDescent="0.2">
      <c r="A12" s="5" t="s">
        <v>185</v>
      </c>
      <c r="B12" s="5">
        <v>2</v>
      </c>
    </row>
    <row r="15" spans="1:13" ht="27.75" x14ac:dyDescent="0.2">
      <c r="A15" s="11" t="s">
        <v>170</v>
      </c>
      <c r="B15" s="11" t="s">
        <v>171</v>
      </c>
      <c r="J15" s="11" t="s">
        <v>172</v>
      </c>
      <c r="K15" s="11" t="s">
        <v>173</v>
      </c>
    </row>
    <row r="16" spans="1:13" ht="27.75" x14ac:dyDescent="0.2">
      <c r="A16" s="11" t="s">
        <v>71</v>
      </c>
      <c r="B16" s="11">
        <v>8</v>
      </c>
      <c r="J16" s="12" t="s">
        <v>84</v>
      </c>
      <c r="K16" s="11">
        <v>4</v>
      </c>
    </row>
    <row r="17" spans="1:11" x14ac:dyDescent="0.2">
      <c r="A17" s="11" t="s">
        <v>73</v>
      </c>
      <c r="B17" s="11">
        <v>2</v>
      </c>
      <c r="J17" s="12" t="s">
        <v>86</v>
      </c>
      <c r="K17" s="11">
        <v>4</v>
      </c>
    </row>
    <row r="31" spans="1:11" x14ac:dyDescent="0.2">
      <c r="A31" s="11" t="s">
        <v>174</v>
      </c>
      <c r="B31" s="11" t="s">
        <v>171</v>
      </c>
      <c r="J31" s="11" t="s">
        <v>154</v>
      </c>
      <c r="K31" s="11" t="s">
        <v>171</v>
      </c>
    </row>
    <row r="32" spans="1:11" ht="27.75" x14ac:dyDescent="0.2">
      <c r="A32" s="11" t="s">
        <v>131</v>
      </c>
      <c r="B32" s="11">
        <v>1</v>
      </c>
      <c r="J32" s="11" t="s">
        <v>105</v>
      </c>
      <c r="K32" s="11">
        <v>8</v>
      </c>
    </row>
    <row r="33" spans="1:11" ht="41.25" x14ac:dyDescent="0.2">
      <c r="A33" s="11" t="s">
        <v>136</v>
      </c>
      <c r="B33" s="11">
        <v>1</v>
      </c>
      <c r="J33" s="11" t="s">
        <v>175</v>
      </c>
      <c r="K33" s="11">
        <v>2</v>
      </c>
    </row>
  </sheetData>
  <mergeCells count="1">
    <mergeCell ref="A1:M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Study_Protocol</vt:lpstr>
      <vt:lpstr>Demographics</vt:lpstr>
      <vt:lpstr>Medical history</vt:lpstr>
      <vt:lpstr>Screening</vt:lpstr>
      <vt:lpstr>Visit_1_baseline</vt:lpstr>
      <vt:lpstr>Week_4</vt:lpstr>
      <vt:lpstr>Week_12</vt:lpstr>
      <vt:lpstr>Week_24_Final</vt:lpstr>
      <vt:lpstr>Laboratory_results</vt:lpstr>
      <vt:lpstr>Vital_signs</vt:lpstr>
      <vt:lpstr>Adverse events</vt:lpstr>
      <vt:lpstr>Concomitant_medications</vt:lpstr>
      <vt:lpstr>Query_Log</vt:lpstr>
      <vt:lpstr>Protocol Deviation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Narravula</dc:creator>
  <cp:lastModifiedBy>Sowmya Narravula</cp:lastModifiedBy>
  <dcterms:created xsi:type="dcterms:W3CDTF">2026-07-05T06:19:08Z</dcterms:created>
  <dcterms:modified xsi:type="dcterms:W3CDTF">2026-07-05T15:00:30Z</dcterms:modified>
</cp:coreProperties>
</file>